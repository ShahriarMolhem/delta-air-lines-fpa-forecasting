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ddecbb8d60041f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 Here" sheetId="1" r:id="R7a5db1ff6879418f"/>
    <x:sheet xmlns:r="http://schemas.openxmlformats.org/officeDocument/2006/relationships" name="Historical GAAP" sheetId="2" r:id="R57f98a3fa58d47e0"/>
    <x:sheet xmlns:r="http://schemas.openxmlformats.org/officeDocument/2006/relationships" name="Operating Drivers" sheetId="3" r:id="Rd8aee956cfe845a3"/>
    <x:sheet xmlns:r="http://schemas.openxmlformats.org/officeDocument/2006/relationships" name="Expense Bridge" sheetId="4" r:id="R32d9ad7f12e14a50"/>
    <x:sheet xmlns:r="http://schemas.openxmlformats.org/officeDocument/2006/relationships" name="Forecast Inputs" sheetId="5" r:id="Rce1552855759456b"/>
    <x:sheet xmlns:r="http://schemas.openxmlformats.org/officeDocument/2006/relationships" name="Operating Forecast" sheetId="6" r:id="Rc8ae44a79c954feb"/>
    <x:sheet xmlns:r="http://schemas.openxmlformats.org/officeDocument/2006/relationships" name="Sensitivity" sheetId="7" r:id="Ree2b24d330984ce2"/>
    <x:sheet xmlns:r="http://schemas.openxmlformats.org/officeDocument/2006/relationships" name="QA Checks" sheetId="8" r:id="R166f362cecac43c5"/>
    <x:sheet xmlns:r="http://schemas.openxmlformats.org/officeDocument/2006/relationships" name="Sources" sheetId="9" r:id="R7aec6ef9eea04d4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;[Red](#,##0);-"/>
    <x:numFmt numFmtId="201" formatCode="0.0%;[Red](0.0%);-"/>
    <x:numFmt numFmtId="202" formatCode="0.00"/>
    <x:numFmt numFmtId="203" formatCode="0.0000"/>
  </x:numFmts>
  <x:fonts count="6">
    <x:font>
      <x:sz val="11"/>
      <x:name val="Carlito"/>
    </x:font>
    <x:font>
      <x:b/>
      <x:sz val="15"/>
      <x:color rgb="FFFFFFFF"/>
      <x:name val="Carlito"/>
    </x:font>
    <x:font>
      <x:b/>
      <x:sz val="11"/>
      <x:color rgb="FFFFFFFF"/>
      <x:name val="Carlito"/>
    </x:font>
    <x:font>
      <x:b/>
      <x:sz val="11"/>
      <x:color rgb="FF0000FF"/>
      <x:name val="Carlito"/>
    </x:font>
    <x:font>
      <x:b/>
      <x:sz val="11"/>
      <x:name val="Carlito"/>
    </x:font>
    <x:font>
      <x:sz val="11"/>
      <x:color rgb="FF0000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42B46"/>
      </x:patternFill>
    </x:fill>
    <x:fill>
      <x:patternFill patternType="solid">
        <x:fgColor rgb="FF244C70"/>
      </x:patternFill>
    </x:fill>
    <x:fill>
      <x:patternFill patternType="solid">
        <x:fgColor rgb="FFFFF4B8"/>
      </x:patternFill>
    </x:fill>
    <x:fill>
      <x:patternFill patternType="solid">
        <x:fgColor rgb="FFDBF2DF"/>
      </x:patternFill>
    </x:fill>
    <x:fill>
      <x:patternFill patternType="solid">
        <x:fgColor rgb="FFEAF2F8"/>
      </x:patternFill>
    </x:fill>
  </x:fills>
  <x:borders count="2">
    <x:border/>
    <x:border/>
  </x:borders>
  <x:cellStyleXfs count="1">
    <x:xf numFmtId="0" fontId="0" fillId="0" borderId="0"/>
  </x:cellStyleXfs>
  <x:cellXfs count="4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201" fontId="0" fillId="4" borderId="0" xfId="0" applyNumberFormat="1" applyFont="1" applyFill="1" applyBorder="1"/>
    <x:xf numFmtId="201" fontId="3" fillId="4" borderId="0" xfId="0" applyNumberFormat="1" applyFont="1" applyFill="1" applyBorder="1"/>
    <x:xf numFmtId="201" fontId="3" fillId="4" borderId="0" xfId="0" applyNumberFormat="1" applyFont="1" applyFill="1" applyBorder="1" applyAlignment="1">
      <x:alignment horizontal="right"/>
    </x:xf>
    <x:xf numFmtId="201" fontId="0" fillId="4" borderId="1" xfId="0" applyNumberFormat="1" applyFont="1" applyFill="1" applyBorder="1"/>
    <x:xf numFmtId="201" fontId="3" fillId="4" borderId="1" xfId="0" applyNumberFormat="1" applyFont="1" applyFill="1" applyBorder="1"/>
    <x:xf numFmtId="201" fontId="3" fillId="4" borderId="1" xfId="0" applyNumberFormat="1" applyFont="1" applyFill="1" applyBorder="1" applyAlignment="1">
      <x:alignment horizontal="right"/>
    </x:xf>
    <x:xf numFmtId="200" fontId="0" fillId="5" borderId="0" xfId="0" applyNumberFormat="1" applyFont="1" applyFill="1" applyBorder="1"/>
    <x:xf numFmtId="200" fontId="4" fillId="5" borderId="0" xfId="0" applyNumberFormat="1" applyFont="1" applyFill="1" applyBorder="1"/>
    <x:xf numFmtId="200" fontId="0" fillId="5" borderId="1" xfId="0" applyNumberFormat="1" applyFont="1" applyFill="1" applyBorder="1"/>
    <x:xf numFmtId="200" fontId="4" fillId="5" borderId="1" xfId="0" applyNumberFormat="1" applyFont="1" applyFill="1" applyBorder="1"/>
    <x:xf numFmtId="0" fontId="0" fillId="6" borderId="0" xfId="0" applyNumberFormat="1" applyFont="1" applyFill="1" applyBorder="1"/>
    <x:xf numFmtId="200" fontId="0" fillId="6" borderId="0" xfId="0" applyNumberFormat="1" applyFont="1" applyFill="1" applyBorder="1"/>
    <x:xf numFmtId="0" fontId="0" fillId="6" borderId="1" xfId="0" applyNumberFormat="1" applyFont="1" applyFill="1" applyBorder="1"/>
    <x:xf numFmtId="200" fontId="0" fillId="6" borderId="1" xfId="0" applyNumberFormat="1" applyFont="1" applyFill="1" applyBorder="1"/>
    <x:xf numFmtId="0" fontId="4" fillId="6" borderId="0" xfId="0" applyNumberFormat="1" applyFont="1" applyFill="1" applyBorder="1"/>
    <x:xf numFmtId="200" fontId="4" fillId="6" borderId="0" xfId="0" applyNumberFormat="1" applyFont="1" applyFill="1" applyBorder="1"/>
    <x:xf numFmtId="0" fontId="4" fillId="6" borderId="1" xfId="0" applyNumberFormat="1" applyFont="1" applyFill="1" applyBorder="1"/>
    <x:xf numFmtId="200" fontId="4" fillId="6" borderId="1" xfId="0" applyNumberFormat="1" applyFont="1" applyFill="1" applyBorder="1"/>
    <x:xf numFmtId="200" fontId="5" fillId="0" borderId="0" xfId="0" applyNumberFormat="1" applyFont="1" applyFill="1" applyBorder="1"/>
    <x:xf numFmtId="200" fontId="3" fillId="6" borderId="0" xfId="0" applyNumberFormat="1" applyFont="1" applyFill="1" applyBorder="1"/>
    <x:xf numFmtId="200" fontId="5" fillId="0" borderId="1" xfId="0" applyNumberFormat="1" applyFont="1" applyFill="1" applyBorder="1"/>
    <x:xf numFmtId="200" fontId="3" fillId="6" borderId="1" xfId="0" applyNumberFormat="1" applyFont="1" applyFill="1" applyBorder="1"/>
    <x:xf numFmtId="202" fontId="5" fillId="0" borderId="0" xfId="0" applyNumberFormat="1" applyFont="1" applyFill="1" applyBorder="1"/>
    <x:xf numFmtId="0" fontId="5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ef07969b9bb42ce" /><Relationship Type="http://schemas.openxmlformats.org/officeDocument/2006/relationships/theme" Target="/xl/theme/theme1.xml" Id="R4eaed02718c34d8d" /><Relationship Type="http://schemas.openxmlformats.org/officeDocument/2006/relationships/sharedStrings" Target="/xl/sharedStrings.xml" Id="Rf63e4ef818164362" /><Relationship Type="http://schemas.openxmlformats.org/officeDocument/2006/relationships/worksheet" Target="/xl/worksheets/sheet1.xml" Id="R7a5db1ff6879418f" /><Relationship Type="http://schemas.openxmlformats.org/officeDocument/2006/relationships/worksheet" Target="/xl/worksheets/sheet2.xml" Id="R57f98a3fa58d47e0" /><Relationship Type="http://schemas.openxmlformats.org/officeDocument/2006/relationships/worksheet" Target="/xl/worksheets/sheet3.xml" Id="Rd8aee956cfe845a3" /><Relationship Type="http://schemas.openxmlformats.org/officeDocument/2006/relationships/worksheet" Target="/xl/worksheets/sheet4.xml" Id="R32d9ad7f12e14a50" /><Relationship Type="http://schemas.openxmlformats.org/officeDocument/2006/relationships/worksheet" Target="/xl/worksheets/sheet5.xml" Id="Rce1552855759456b" /><Relationship Type="http://schemas.openxmlformats.org/officeDocument/2006/relationships/worksheet" Target="/xl/worksheets/sheet6.xml" Id="Rc8ae44a79c954feb" /><Relationship Type="http://schemas.openxmlformats.org/officeDocument/2006/relationships/worksheet" Target="/xl/worksheets/sheet7.xml" Id="Ree2b24d330984ce2" /><Relationship Type="http://schemas.openxmlformats.org/officeDocument/2006/relationships/worksheet" Target="/xl/worksheets/sheet8.xml" Id="R166f362cecac43c5" /><Relationship Type="http://schemas.openxmlformats.org/officeDocument/2006/relationships/worksheet" Target="/xl/worksheets/sheet9.xml" Id="R7aec6ef9eea04d4a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891b2f092e444803" /></Relationships>
</file>

<file path=xl/drawings/charts/chart1.xml><?xml version="1.0" encoding="utf-8"?>
<c:chartSpace xmlns:c="http://schemas.openxmlformats.org/drawingml/2006/chart">
  <c:lang val="en-US"/>
  <c:roundedCorners val="0"/>
  <c:chart>
    <c:plotArea>
      <c:lineChart>
        <c:grouping val="standard"/>
        <c:varyColors val="0"/>
        <c:ser>
          <c:idx val="0"/>
          <c:order val="0"/>
          <c:tx>
            <c:v>Revenue</c:v>
          </c:tx>
          <c:marker>
            <c:symbol val="none"/>
          </c:marker>
          <c:cat>
            <c:strRef>
              <c:f>'Historical GAAP'!$B$4:$F$4</c:f>
              <c:strCache>
                <c:ptCount val="0"/>
              </c:strCache>
            </c:strRef>
          </c:cat>
          <c:val>
            <c:numRef>
              <c:f>'Historical GAAP'!$B$8:$F$8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1"/>
          <c:order val="1"/>
          <c:tx>
            <c:v>Operating Expenses</c:v>
          </c:tx>
          <c:marker>
            <c:symbol val="none"/>
          </c:marker>
          <c:cat>
            <c:strRef>
              <c:f>'Historical GAAP'!$B$4:$F$4</c:f>
              <c:strCache>
                <c:ptCount val="0"/>
              </c:strCache>
            </c:strRef>
          </c:cat>
          <c:val>
            <c:numRef>
              <c:f>'Historical GAAP'!$B$24:$F$24</c:f>
              <c:numCache>
                <c:formatCode>General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7</xdr:col>
      <xdr:colOff>0</xdr:colOff>
      <xdr:row>2</xdr:row>
      <xdr:rowOff>0</xdr:rowOff>
    </xdr:from>
    <xdr:to>
      <xdr:col>16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91b2f092e44480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3f46a090778f4e59" /></Relationships>
</file>

<file path=xl/worksheets/sheet1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39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</x:cols>
  <x:sheetData>
    <x:row r="1" ht="32" customHeight="1">
      <x:c r="A1" s="4" t="str">
        <x:v>DELTA AIR LINES | FP&amp;A REVENUE, FUEL &amp; MARGIN ANALYSIS</x:v>
      </x:c>
    </x:row>
    <x:row r="3" ht="25" customHeight="1">
      <x:c r="A3" t="str">
        <x:v>Portfolio level</x:v>
      </x:c>
      <x:c r="B3" t="str">
        <x:v>BBA Finance Student | University of Georgia</x:v>
      </x:c>
    </x:row>
    <x:row r="4">
      <x:c r="A4" t="str">
        <x:v>Data scope</x:v>
      </x:c>
      <x:c r="B4" t="str">
        <x:v>FY2021–FY2025 SEC consolidated actuals</x:v>
      </x:c>
    </x:row>
    <x:row r="5">
      <x:c r="A5" t="str">
        <x:v>Planning scope</x:v>
      </x:c>
      <x:c r="B5" t="str">
        <x:v>FY2026–FY2028 hypothetical student scenarios (not company budget)</x:v>
      </x:c>
    </x:row>
    <x:row r="7" ht="27" customHeight="1">
      <x:c r="A7" s="34" t="str">
        <x:v>2025 REVENUE ($mm)</x:v>
      </x:c>
      <x:c r="B7" s="35" t="n">
        <x:f>'Historical GAAP'!F8</x:f>
        <x:v>63364</x:v>
      </x:c>
      <x:c r="C7" s="34" t="str">
        <x:v>2025 EBIT ($mm)</x:v>
      </x:c>
      <x:c r="D7" s="35" t="n">
        <x:f>'Historical GAAP'!F25</x:f>
        <x:v>5822</x:v>
      </x:c>
      <x:c r="E7" s="34" t="str">
        <x:v>2026 MODEL EBIT ($mm)</x:v>
      </x:c>
      <x:c r="F7" s="35" t="n">
        <x:f>'Operating Forecast'!C21</x:f>
        <x:v>5257.243249999985</x:v>
      </x:c>
      <x:c r="G7" s="34"/>
    </x:row>
    <x:row r="10">
      <x:c r="A10" t="str">
        <x:v>1. Historical GAAP: true 10-K revenue and cost categories, FY2021–FY2025.</x:v>
      </x:c>
    </x:row>
    <x:row r="11">
      <x:c r="A11" t="str">
        <x:v>2. Operating Drivers: capacity, PRASM, gallons, fuel price and derived unit costs.</x:v>
      </x:c>
    </x:row>
    <x:row r="12">
      <x:c r="A12" t="str">
        <x:v>3. Expense Bridge: FY2024 to FY2025 GAAP operating-profit decomposition.</x:v>
      </x:c>
    </x:row>
    <x:row r="13">
      <x:c r="A13" t="str">
        <x:v>4. Forecast Inputs: EDITABLE BLUE/YELLOW student growth and cost assumptions.</x:v>
      </x:c>
    </x:row>
    <x:row r="14">
      <x:c r="A14" t="str">
        <x:v>5. Operating Forecast: formula-linked airline operating cases, FY2026–FY2028.</x:v>
      </x:c>
    </x:row>
    <x:row r="15">
      <x:c r="A15" t="str">
        <x:v>6. Sensitivity: FY2026 fuel-price and passenger-yield shock analysis.</x:v>
      </x:c>
    </x:row>
    <x:row r="16">
      <x:c r="A16" t="str">
        <x:v>7. QA Checks: five-year historical reconciliations and sensitivity integrity.</x:v>
      </x:c>
    </x:row>
    <x:row r="17">
      <x:c r="A17" t="str">
        <x:v>8. Sources: SEC URLs with associated source pages.</x:v>
      </x:c>
    </x:row>
    <x:row r="19">
      <x:c r="A19" t="str">
        <x:v>Model limits: FY2021 COVID-era grants; refinery other revenue; 2025 actuals baseline only; no internal plan data.</x:v>
      </x:c>
    </x:row>
  </x:sheetData>
  <x:mergeCells>
    <x:mergeCell ref="A1:G1"/>
  </x:mergeCells>
  <x:pageMargins left="0.7" right="0.7" top="0.75" bottom="0.75" header="0.3" footer="0.3"/>
  <x:drawing xmlns:r="http://schemas.openxmlformats.org/officeDocument/2006/relationships" r:id="R3f46a090778f4e59"/>
</x:worksheet>
</file>

<file path=xl/worksheets/sheet2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46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25" hidden="0" customWidth="1"/>
    <x:col min="8" max="8" width="25" hidden="0" customWidth="1"/>
    <x:col min="9" max="9" width="25" hidden="0" customWidth="1"/>
  </x:cols>
  <x:sheetData>
    <x:row r="1" ht="32" customHeight="1">
      <x:c r="A1" s="4" t="str">
        <x:v>DELTA AIR LINES | FIVE-YEAR GAAP OPERATING PERFORMANCE</x:v>
      </x:c>
    </x:row>
    <x:row r="2">
      <x:c r="A2" t="str">
        <x:v>USD millions | Actual consolidated statement line items; 2026+ projections appear separately.</x:v>
      </x:c>
    </x:row>
    <x:row r="3" ht="25" customHeight="1"/>
    <x:row r="4" ht="24" customHeight="1">
      <x:c r="A4" s="9" t="str">
        <x:v>Metric</x:v>
      </x:c>
      <x:c r="B4" s="9" t="str">
        <x:v>FY2021</x:v>
      </x:c>
      <x:c r="C4" s="9" t="str">
        <x:v>FY2022</x:v>
      </x:c>
      <x:c r="D4" s="9" t="str">
        <x:v>FY2023</x:v>
      </x:c>
      <x:c r="E4" s="9" t="str">
        <x:v>FY2024</x:v>
      </x:c>
      <x:c r="F4" s="9" t="str">
        <x:v>FY2025</x:v>
      </x:c>
      <x:c r="G4" t="str">
        <x:v>Units</x:v>
      </x:c>
      <x:c r="H4" t="str">
        <x:v>2021-22 source</x:v>
      </x:c>
      <x:c r="I4" t="str">
        <x:v>2023-25 source</x:v>
      </x:c>
    </x:row>
    <x:row r="5">
      <x:c r="A5" t="str">
        <x:v>Passenger revenue</x:v>
      </x:c>
      <x:c r="B5" s="38" t="n">
        <x:v>22519</x:v>
      </x:c>
      <x:c r="C5" s="38" t="n">
        <x:v>40218</x:v>
      </x:c>
      <x:c r="D5" s="38" t="n">
        <x:v>48909</x:v>
      </x:c>
      <x:c r="E5" s="38" t="n">
        <x:v>50894</x:v>
      </x:c>
      <x:c r="F5" s="38" t="n">
        <x:v>51768</x:v>
      </x:c>
      <x:c r="G5" t="str">
        <x:v>USD mm</x:v>
      </x:c>
      <x:c r="H5" t="str">
        <x:v>https://www.sec.gov/Archives/edgar/data/27904/000002790424000003/dal-20231231.htm</x:v>
      </x:c>
      <x:c r="I5" t="str">
        <x:v>https://www.sec.gov/Archives/edgar/data/27904/000002790426000013/dal-20251231.htm</x:v>
      </x:c>
    </x:row>
    <x:row r="6">
      <x:c r="A6" t="str">
        <x:v>Cargo revenue</x:v>
      </x:c>
      <x:c r="B6" s="38" t="n">
        <x:v>1032</x:v>
      </x:c>
      <x:c r="C6" s="38" t="n">
        <x:v>1050</x:v>
      </x:c>
      <x:c r="D6" s="38" t="n">
        <x:v>723</x:v>
      </x:c>
      <x:c r="E6" s="38" t="n">
        <x:v>822</x:v>
      </x:c>
      <x:c r="F6" s="38" t="n">
        <x:v>900</x:v>
      </x:c>
      <x:c r="G6" t="str">
        <x:v>USD mm</x:v>
      </x:c>
      <x:c r="H6" t="str">
        <x:v>https://www.sec.gov/Archives/edgar/data/27904/000002790424000003/dal-20231231.htm</x:v>
      </x:c>
      <x:c r="I6" t="str">
        <x:v>https://www.sec.gov/Archives/edgar/data/27904/000002790426000013/dal-20251231.htm</x:v>
      </x:c>
    </x:row>
    <x:row r="7">
      <x:c r="A7" t="str">
        <x:v>Other revenue</x:v>
      </x:c>
      <x:c r="B7" s="38" t="n">
        <x:v>6348</x:v>
      </x:c>
      <x:c r="C7" s="38" t="n">
        <x:v>9314</x:v>
      </x:c>
      <x:c r="D7" s="38" t="n">
        <x:v>8416</x:v>
      </x:c>
      <x:c r="E7" s="38" t="n">
        <x:v>9927</x:v>
      </x:c>
      <x:c r="F7" s="38" t="n">
        <x:v>10696</x:v>
      </x:c>
      <x:c r="G7" t="str">
        <x:v>USD mm</x:v>
      </x:c>
      <x:c r="H7" t="str">
        <x:v>https://www.sec.gov/Archives/edgar/data/27904/000002790424000003/dal-20231231.htm</x:v>
      </x:c>
      <x:c r="I7" t="str">
        <x:v>https://www.sec.gov/Archives/edgar/data/27904/000002790426000013/dal-20251231.htm</x:v>
      </x:c>
    </x:row>
    <x:row r="8">
      <x:c r="A8" s="34" t="str">
        <x:v>Total operating revenue</x:v>
      </x:c>
      <x:c r="B8" s="39" t="n">
        <x:v>29899</x:v>
      </x:c>
      <x:c r="C8" s="39" t="n">
        <x:v>50582</x:v>
      </x:c>
      <x:c r="D8" s="39" t="n">
        <x:v>58048</x:v>
      </x:c>
      <x:c r="E8" s="39" t="n">
        <x:v>61643</x:v>
      </x:c>
      <x:c r="F8" s="39" t="n">
        <x:v>63364</x:v>
      </x:c>
      <x:c r="G8" t="str">
        <x:v>USD mm</x:v>
      </x:c>
      <x:c r="H8" t="str">
        <x:v>https://www.sec.gov/Archives/edgar/data/27904/000002790424000003/dal-20231231.htm</x:v>
      </x:c>
      <x:c r="I8" t="str">
        <x:v>https://www.sec.gov/Archives/edgar/data/27904/000002790426000013/dal-20251231.htm</x:v>
      </x:c>
    </x:row>
    <x:row r="9">
      <x:c r="A9" t="str">
        <x:v>Salaries and related costs</x:v>
      </x:c>
      <x:c r="B9" s="38" t="n">
        <x:v>9728</x:v>
      </x:c>
      <x:c r="C9" s="38" t="n">
        <x:v>11902</x:v>
      </x:c>
      <x:c r="D9" s="38" t="n">
        <x:v>14607</x:v>
      </x:c>
      <x:c r="E9" s="38" t="n">
        <x:v>16161</x:v>
      </x:c>
      <x:c r="F9" s="38" t="n">
        <x:v>17520</x:v>
      </x:c>
      <x:c r="G9" t="str">
        <x:v>USD mm</x:v>
      </x:c>
      <x:c r="H9" t="str">
        <x:v>https://www.sec.gov/Archives/edgar/data/27904/000002790424000003/dal-20231231.htm</x:v>
      </x:c>
      <x:c r="I9" t="str">
        <x:v>https://www.sec.gov/Archives/edgar/data/27904/000002790426000013/dal-20251231.htm</x:v>
      </x:c>
    </x:row>
    <x:row r="10">
      <x:c r="A10" t="str">
        <x:v>Aircraft fuel and related taxes</x:v>
      </x:c>
      <x:c r="B10" s="38" t="n">
        <x:v>5633</x:v>
      </x:c>
      <x:c r="C10" s="38" t="n">
        <x:v>11482</x:v>
      </x:c>
      <x:c r="D10" s="38" t="n">
        <x:v>11069</x:v>
      </x:c>
      <x:c r="E10" s="38" t="n">
        <x:v>10566</x:v>
      </x:c>
      <x:c r="F10" s="38" t="n">
        <x:v>9819</x:v>
      </x:c>
      <x:c r="G10" t="str">
        <x:v>USD mm</x:v>
      </x:c>
      <x:c r="H10" t="str">
        <x:v>https://www.sec.gov/Archives/edgar/data/27904/000002790424000003/dal-20231231.htm</x:v>
      </x:c>
      <x:c r="I10" t="str">
        <x:v>https://www.sec.gov/Archives/edgar/data/27904/000002790426000013/dal-20251231.htm</x:v>
      </x:c>
    </x:row>
    <x:row r="11">
      <x:c r="A11" t="str">
        <x:v>Ancillary businesses and refinery</x:v>
      </x:c>
      <x:c r="B11" s="38" t="n">
        <x:v>3957</x:v>
      </x:c>
      <x:c r="C11" s="38" t="n">
        <x:v>5756</x:v>
      </x:c>
      <x:c r="D11" s="38" t="n">
        <x:v>4172</x:v>
      </x:c>
      <x:c r="E11" s="38" t="n">
        <x:v>5416</x:v>
      </x:c>
      <x:c r="F11" s="38" t="n">
        <x:v>5987</x:v>
      </x:c>
      <x:c r="G11" t="str">
        <x:v>USD mm</x:v>
      </x:c>
      <x:c r="H11" t="str">
        <x:v>https://www.sec.gov/Archives/edgar/data/27904/000002790424000003/dal-20231231.htm</x:v>
      </x:c>
      <x:c r="I11" t="str">
        <x:v>https://www.sec.gov/Archives/edgar/data/27904/000002790426000013/dal-20251231.htm</x:v>
      </x:c>
    </x:row>
    <x:row r="12">
      <x:c r="A12" t="str">
        <x:v>Contracted services</x:v>
      </x:c>
      <x:c r="B12" s="38" t="n">
        <x:v>2420</x:v>
      </x:c>
      <x:c r="C12" s="38" t="n">
        <x:v>3345</x:v>
      </x:c>
      <x:c r="D12" s="38" t="n">
        <x:v>4041</x:v>
      </x:c>
      <x:c r="E12" s="38" t="n">
        <x:v>4228</x:v>
      </x:c>
      <x:c r="F12" s="38" t="n">
        <x:v>4617</x:v>
      </x:c>
      <x:c r="G12" t="str">
        <x:v>USD mm</x:v>
      </x:c>
      <x:c r="H12" t="str">
        <x:v>https://www.sec.gov/Archives/edgar/data/27904/000002790424000003/dal-20231231.htm</x:v>
      </x:c>
      <x:c r="I12" t="str">
        <x:v>https://www.sec.gov/Archives/edgar/data/27904/000002790426000013/dal-20251231.htm</x:v>
      </x:c>
    </x:row>
    <x:row r="13">
      <x:c r="A13" t="str">
        <x:v>Landing fees and other rents</x:v>
      </x:c>
      <x:c r="B13" s="38" t="n">
        <x:v>2019</x:v>
      </x:c>
      <x:c r="C13" s="38" t="n">
        <x:v>2181</x:v>
      </x:c>
      <x:c r="D13" s="38" t="n">
        <x:v>2563</x:v>
      </x:c>
      <x:c r="E13" s="38" t="n">
        <x:v>3150</x:v>
      </x:c>
      <x:c r="F13" s="38" t="n">
        <x:v>3564</x:v>
      </x:c>
      <x:c r="G13" t="str">
        <x:v>USD mm</x:v>
      </x:c>
      <x:c r="H13" t="str">
        <x:v>https://www.sec.gov/Archives/edgar/data/27904/000002790424000003/dal-20231231.htm</x:v>
      </x:c>
      <x:c r="I13" t="str">
        <x:v>https://www.sec.gov/Archives/edgar/data/27904/000002790426000013/dal-20251231.htm</x:v>
      </x:c>
    </x:row>
    <x:row r="14">
      <x:c r="A14" t="str">
        <x:v>Regional carrier expense</x:v>
      </x:c>
      <x:c r="B14" s="38" t="n">
        <x:v>1736</x:v>
      </x:c>
      <x:c r="C14" s="38" t="n">
        <x:v>2051</x:v>
      </x:c>
      <x:c r="D14" s="38" t="n">
        <x:v>2200</x:v>
      </x:c>
      <x:c r="E14" s="38" t="n">
        <x:v>2328</x:v>
      </x:c>
      <x:c r="F14" s="38" t="n">
        <x:v>2553</x:v>
      </x:c>
      <x:c r="G14" t="str">
        <x:v>USD mm</x:v>
      </x:c>
      <x:c r="H14" t="str">
        <x:v>https://www.sec.gov/Archives/edgar/data/27904/000002790424000003/dal-20231231.htm</x:v>
      </x:c>
      <x:c r="I14" t="str">
        <x:v>https://www.sec.gov/Archives/edgar/data/27904/000002790426000013/dal-20251231.htm</x:v>
      </x:c>
    </x:row>
    <x:row r="15">
      <x:c r="A15" t="str">
        <x:v>Passenger commissions and other selling expenses</x:v>
      </x:c>
      <x:c r="B15" s="38" t="n">
        <x:v>953</x:v>
      </x:c>
      <x:c r="C15" s="38" t="n">
        <x:v>1891</x:v>
      </x:c>
      <x:c r="D15" s="38" t="n">
        <x:v>2334</x:v>
      </x:c>
      <x:c r="E15" s="38" t="n">
        <x:v>2485</x:v>
      </x:c>
      <x:c r="F15" s="38" t="n">
        <x:v>2485</x:v>
      </x:c>
      <x:c r="G15" t="str">
        <x:v>USD mm</x:v>
      </x:c>
      <x:c r="H15" t="str">
        <x:v>https://www.sec.gov/Archives/edgar/data/27904/000002790424000003/dal-20231231.htm</x:v>
      </x:c>
      <x:c r="I15" t="str">
        <x:v>https://www.sec.gov/Archives/edgar/data/27904/000002790426000013/dal-20251231.htm</x:v>
      </x:c>
    </x:row>
    <x:row r="16">
      <x:c r="A16" t="str">
        <x:v>Depreciation and amortization</x:v>
      </x:c>
      <x:c r="B16" s="38" t="n">
        <x:v>1998</x:v>
      </x:c>
      <x:c r="C16" s="38" t="n">
        <x:v>2107</x:v>
      </x:c>
      <x:c r="D16" s="38" t="n">
        <x:v>2341</x:v>
      </x:c>
      <x:c r="E16" s="38" t="n">
        <x:v>2513</x:v>
      </x:c>
      <x:c r="F16" s="38" t="n">
        <x:v>2443</x:v>
      </x:c>
      <x:c r="G16" t="str">
        <x:v>USD mm</x:v>
      </x:c>
      <x:c r="H16" t="str">
        <x:v>https://www.sec.gov/Archives/edgar/data/27904/000002790424000003/dal-20231231.htm</x:v>
      </x:c>
      <x:c r="I16" t="str">
        <x:v>https://www.sec.gov/Archives/edgar/data/27904/000002790426000013/dal-20251231.htm</x:v>
      </x:c>
    </x:row>
    <x:row r="17">
      <x:c r="A17" t="str">
        <x:v>Aircraft maintenance materials and outside repairs</x:v>
      </x:c>
      <x:c r="B17" s="38" t="n">
        <x:v>1401</x:v>
      </x:c>
      <x:c r="C17" s="38" t="n">
        <x:v>1982</x:v>
      </x:c>
      <x:c r="D17" s="38" t="n">
        <x:v>2432</x:v>
      </x:c>
      <x:c r="E17" s="38" t="n">
        <x:v>2616</x:v>
      </x:c>
      <x:c r="F17" s="38" t="n">
        <x:v>2432</x:v>
      </x:c>
      <x:c r="G17" t="str">
        <x:v>USD mm</x:v>
      </x:c>
      <x:c r="H17" t="str">
        <x:v>https://www.sec.gov/Archives/edgar/data/27904/000002790424000003/dal-20231231.htm</x:v>
      </x:c>
      <x:c r="I17" t="str">
        <x:v>https://www.sec.gov/Archives/edgar/data/27904/000002790426000013/dal-20251231.htm</x:v>
      </x:c>
    </x:row>
    <x:row r="18">
      <x:c r="A18" t="str">
        <x:v>Passenger service</x:v>
      </x:c>
      <x:c r="B18" s="38" t="n">
        <x:v>756</x:v>
      </x:c>
      <x:c r="C18" s="38" t="n">
        <x:v>1453</x:v>
      </x:c>
      <x:c r="D18" s="38" t="n">
        <x:v>1750</x:v>
      </x:c>
      <x:c r="E18" s="38" t="n">
        <x:v>1788</x:v>
      </x:c>
      <x:c r="F18" s="38" t="n">
        <x:v>1855</x:v>
      </x:c>
      <x:c r="G18" t="str">
        <x:v>USD mm</x:v>
      </x:c>
      <x:c r="H18" t="str">
        <x:v>https://www.sec.gov/Archives/edgar/data/27904/000002790424000003/dal-20231231.htm</x:v>
      </x:c>
      <x:c r="I18" t="str">
        <x:v>https://www.sec.gov/Archives/edgar/data/27904/000002790426000013/dal-20251231.htm</x:v>
      </x:c>
    </x:row>
    <x:row r="19">
      <x:c r="A19" t="str">
        <x:v>Profit sharing</x:v>
      </x:c>
      <x:c r="B19" s="38" t="n">
        <x:v>108</x:v>
      </x:c>
      <x:c r="C19" s="38" t="n">
        <x:v>563</x:v>
      </x:c>
      <x:c r="D19" s="38" t="n">
        <x:v>1383</x:v>
      </x:c>
      <x:c r="E19" s="38" t="n">
        <x:v>1389</x:v>
      </x:c>
      <x:c r="F19" s="38" t="n">
        <x:v>1337</x:v>
      </x:c>
      <x:c r="G19" t="str">
        <x:v>USD mm</x:v>
      </x:c>
      <x:c r="H19" t="str">
        <x:v>https://www.sec.gov/Archives/edgar/data/27904/000002790424000003/dal-20231231.htm</x:v>
      </x:c>
      <x:c r="I19" t="str">
        <x:v>https://www.sec.gov/Archives/edgar/data/27904/000002790426000013/dal-20251231.htm</x:v>
      </x:c>
    </x:row>
    <x:row r="20">
      <x:c r="A20" t="str">
        <x:v>Aircraft rent</x:v>
      </x:c>
      <x:c r="B20" s="38" t="n">
        <x:v>430</x:v>
      </x:c>
      <x:c r="C20" s="38" t="n">
        <x:v>508</x:v>
      </x:c>
      <x:c r="D20" s="38" t="n">
        <x:v>532</x:v>
      </x:c>
      <x:c r="E20" s="38" t="n">
        <x:v>548</x:v>
      </x:c>
      <x:c r="F20" s="38" t="n">
        <x:v>542</x:v>
      </x:c>
      <x:c r="G20" t="str">
        <x:v>USD mm</x:v>
      </x:c>
      <x:c r="H20" t="str">
        <x:v>https://www.sec.gov/Archives/edgar/data/27904/000002790424000003/dal-20231231.htm</x:v>
      </x:c>
      <x:c r="I20" t="str">
        <x:v>https://www.sec.gov/Archives/edgar/data/27904/000002790426000013/dal-20251231.htm</x:v>
      </x:c>
    </x:row>
    <x:row r="21">
      <x:c r="A21" t="str">
        <x:v>Pilot agreement and related expenses</x:v>
      </x:c>
      <x:c r="B21" s="38" t="n">
        <x:v>0</x:v>
      </x:c>
      <x:c r="C21" s="38" t="n">
        <x:v>0</x:v>
      </x:c>
      <x:c r="D21" s="38" t="n">
        <x:v>864</x:v>
      </x:c>
      <x:c r="E21" s="38" t="n">
        <x:v>0</x:v>
      </x:c>
      <x:c r="F21" s="38" t="n">
        <x:v>0</x:v>
      </x:c>
      <x:c r="G21" t="str">
        <x:v>USD mm</x:v>
      </x:c>
      <x:c r="H21" t="str">
        <x:v>https://www.sec.gov/Archives/edgar/data/27904/000002790424000003/dal-20231231.htm</x:v>
      </x:c>
      <x:c r="I21" t="str">
        <x:v>https://www.sec.gov/Archives/edgar/data/27904/000002790426000013/dal-20251231.htm</x:v>
      </x:c>
    </x:row>
    <x:row r="22">
      <x:c r="A22" t="str">
        <x:v>Government grant recognition</x:v>
      </x:c>
      <x:c r="B22" s="38" t="n">
        <x:v>-4512</x:v>
      </x:c>
      <x:c r="C22" s="38" t="n">
        <x:v>0</x:v>
      </x:c>
      <x:c r="D22" s="38" t="n">
        <x:v>0</x:v>
      </x:c>
      <x:c r="E22" s="38" t="n">
        <x:v>0</x:v>
      </x:c>
      <x:c r="F22" s="38" t="n">
        <x:v>0</x:v>
      </x:c>
      <x:c r="G22" t="str">
        <x:v>USD mm</x:v>
      </x:c>
      <x:c r="H22" t="str">
        <x:v>https://www.sec.gov/Archives/edgar/data/27904/000002790424000003/dal-20231231.htm</x:v>
      </x:c>
      <x:c r="I22" t="str">
        <x:v>https://www.sec.gov/Archives/edgar/data/27904/000002790426000013/dal-20251231.htm</x:v>
      </x:c>
    </x:row>
    <x:row r="23">
      <x:c r="A23" t="str">
        <x:v>Other operating expense</x:v>
      </x:c>
      <x:c r="B23" s="38" t="n">
        <x:v>1386</x:v>
      </x:c>
      <x:c r="C23" s="38" t="n">
        <x:v>1700</x:v>
      </x:c>
      <x:c r="D23" s="38" t="n">
        <x:v>2239</x:v>
      </x:c>
      <x:c r="E23" s="38" t="n">
        <x:v>2460</x:v>
      </x:c>
      <x:c r="F23" s="38" t="n">
        <x:v>2388</x:v>
      </x:c>
      <x:c r="G23" t="str">
        <x:v>USD mm</x:v>
      </x:c>
      <x:c r="H23" t="str">
        <x:v>https://www.sec.gov/Archives/edgar/data/27904/000002790424000003/dal-20231231.htm</x:v>
      </x:c>
      <x:c r="I23" t="str">
        <x:v>https://www.sec.gov/Archives/edgar/data/27904/000002790426000013/dal-20251231.htm</x:v>
      </x:c>
    </x:row>
    <x:row r="24">
      <x:c r="A24" s="34" t="str">
        <x:v>Total operating expense</x:v>
      </x:c>
      <x:c r="B24" s="39" t="n">
        <x:v>28013</x:v>
      </x:c>
      <x:c r="C24" s="39" t="n">
        <x:v>46921</x:v>
      </x:c>
      <x:c r="D24" s="39" t="n">
        <x:v>52527</x:v>
      </x:c>
      <x:c r="E24" s="39" t="n">
        <x:v>55648</x:v>
      </x:c>
      <x:c r="F24" s="39" t="n">
        <x:v>57542</x:v>
      </x:c>
      <x:c r="G24" t="str">
        <x:v>USD mm</x:v>
      </x:c>
      <x:c r="H24" t="str">
        <x:v>https://www.sec.gov/Archives/edgar/data/27904/000002790424000003/dal-20231231.htm</x:v>
      </x:c>
      <x:c r="I24" t="str">
        <x:v>https://www.sec.gov/Archives/edgar/data/27904/000002790426000013/dal-20251231.htm</x:v>
      </x:c>
    </x:row>
    <x:row r="25">
      <x:c r="A25" s="34" t="str">
        <x:v>Operating income</x:v>
      </x:c>
      <x:c r="B25" s="39" t="n">
        <x:v>1886</x:v>
      </x:c>
      <x:c r="C25" s="39" t="n">
        <x:v>3661</x:v>
      </x:c>
      <x:c r="D25" s="39" t="n">
        <x:v>5521</x:v>
      </x:c>
      <x:c r="E25" s="39" t="n">
        <x:v>5995</x:v>
      </x:c>
      <x:c r="F25" s="39" t="n">
        <x:v>5822</x:v>
      </x:c>
      <x:c r="G25" t="str">
        <x:v>USD mm</x:v>
      </x:c>
      <x:c r="H25" t="str">
        <x:v>https://www.sec.gov/Archives/edgar/data/27904/000002790424000003/dal-20231231.htm</x:v>
      </x:c>
      <x:c r="I25" t="str">
        <x:v>https://www.sec.gov/Archives/edgar/data/27904/000002790426000013/dal-20251231.htm</x:v>
      </x:c>
    </x:row>
    <x:row r="26">
      <x:c r="A26" t="str">
        <x:v>Net income</x:v>
      </x:c>
      <x:c r="B26" s="38" t="n">
        <x:v>280</x:v>
      </x:c>
      <x:c r="C26" s="38" t="n">
        <x:v>1318</x:v>
      </x:c>
      <x:c r="D26" s="38" t="n">
        <x:v>4609</x:v>
      </x:c>
      <x:c r="E26" s="38" t="n">
        <x:v>3457</x:v>
      </x:c>
      <x:c r="F26" s="38" t="n">
        <x:v>5005</x:v>
      </x:c>
      <x:c r="G26" t="str">
        <x:v>USD mm</x:v>
      </x:c>
      <x:c r="H26" t="str">
        <x:v>https://www.sec.gov/Archives/edgar/data/27904/000002790424000003/dal-20231231.htm</x:v>
      </x:c>
      <x:c r="I26" t="str">
        <x:v>https://www.sec.gov/Archives/edgar/data/27904/000002790426000013/dal-20251231.htm</x:v>
      </x:c>
    </x:row>
    <x:row r="28">
      <x:c r="A28" t="str">
        <x:v>Revenue growth</x:v>
      </x:c>
      <x:c r="B28" s="14"/>
      <x:c r="C28" s="14" t="n">
        <x:f>C8/B8-1</x:f>
        <x:v>0.6917622662965317</x:v>
      </x:c>
      <x:c r="D28" s="14" t="n">
        <x:f>D8/C8-1</x:f>
        <x:v>0.1476019137242497</x:v>
      </x:c>
      <x:c r="E28" s="14" t="n">
        <x:f>E8/D8-1</x:f>
        <x:v>0.06193150496141131</x:v>
      </x:c>
      <x:c r="F28" s="14" t="n">
        <x:f>F8/E8-1</x:f>
        <x:v>0.027918822899599238</x:v>
      </x:c>
    </x:row>
    <x:row r="29">
      <x:c r="A29" t="str">
        <x:v>GAAP operating margin</x:v>
      </x:c>
      <x:c r="B29" s="14" t="n">
        <x:f>B25/B8</x:f>
        <x:v>0.06307903274357002</x:v>
      </x:c>
      <x:c r="C29" s="14" t="n">
        <x:f>C25/C8</x:f>
        <x:v>0.0723775256019928</x:v>
      </x:c>
      <x:c r="D29" s="14" t="n">
        <x:f>D25/D8</x:f>
        <x:v>0.09511094266813672</x:v>
      </x:c>
      <x:c r="E29" s="14" t="n">
        <x:f>E25/E8</x:f>
        <x:v>0.0972535405479941</x:v>
      </x:c>
      <x:c r="F29" s="14" t="n">
        <x:f>F25/F8</x:f>
        <x:v>0.09188182564232056</x:v>
      </x:c>
    </x:row>
    <x:row r="30">
      <x:c r="A30" t="str">
        <x:v>Fuel / revenue</x:v>
      </x:c>
      <x:c r="B30" s="14" t="n">
        <x:f>B10/B8</x:f>
        <x:v>0.18840094986454398</x:v>
      </x:c>
      <x:c r="C30" s="14" t="n">
        <x:f>C10/C8</x:f>
        <x:v>0.22699774623383812</x:v>
      </x:c>
      <x:c r="D30" s="14" t="n">
        <x:f>D10/D8</x:f>
        <x:v>0.19068701764057333</x:v>
      </x:c>
      <x:c r="E30" s="14" t="n">
        <x:f>E10/E8</x:f>
        <x:v>0.17140632350794088</x:v>
      </x:c>
      <x:c r="F30" s="14" t="n">
        <x:f>F10/F8</x:f>
        <x:v>0.15496180796666878</x:v>
      </x:c>
    </x:row>
    <x:row r="31">
      <x:c r="A31" t="str">
        <x:v>Salaries / revenue</x:v>
      </x:c>
      <x:c r="B31" s="14" t="n">
        <x:f>B9/B8</x:f>
        <x:v>0.32536205224254994</x:v>
      </x:c>
      <x:c r="C31" s="14" t="n">
        <x:f>C9/C8</x:f>
        <x:v>0.23530109525127516</x:v>
      </x:c>
      <x:c r="D31" s="14" t="n">
        <x:f>D9/D8</x:f>
        <x:v>0.25163657662624034</x:v>
      </x:c>
      <x:c r="E31" s="14" t="n">
        <x:f>E9/E8</x:f>
        <x:v>0.2621708872053599</x:v>
      </x:c>
      <x:c r="F31" s="14" t="n">
        <x:f>F9/F8</x:f>
        <x:v>0.2764976958525346</x:v>
      </x:c>
    </x:row>
    <x:row r="32">
      <x:c r="A32" t="str">
        <x:v>Passenger share of revenue</x:v>
      </x:c>
      <x:c r="B32" s="14" t="n">
        <x:f>B5/B8</x:f>
        <x:v>0.7531690023077695</x:v>
      </x:c>
      <x:c r="C32" s="14" t="n">
        <x:f>C5/C8</x:f>
        <x:v>0.7951049780554348</x:v>
      </x:c>
      <x:c r="D32" s="14" t="n">
        <x:f>D5/D8</x:f>
        <x:v>0.8425613285556781</x:v>
      </x:c>
      <x:c r="E32" s="14" t="n">
        <x:f>E5/E8</x:f>
        <x:v>0.825624969582921</x:v>
      </x:c>
      <x:c r="F32" s="14" t="n">
        <x:f>F5/F8</x:f>
        <x:v>0.8169938766492014</x:v>
      </x:c>
    </x:row>
  </x:sheetData>
  <x:mergeCells>
    <x:mergeCell ref="A1:I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46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6" hidden="0" customWidth="1"/>
    <x:col min="8" max="8" width="35" hidden="0" customWidth="1"/>
  </x:cols>
  <x:sheetData>
    <x:row r="1" ht="32" customHeight="1">
      <x:c r="A1" s="4" t="str">
        <x:v>OPERATING KPIs | HISTORICAL, AS DISCLOSED BY DELTA</x:v>
      </x:c>
    </x:row>
    <x:row r="3" ht="25" customHeight="1"/>
    <x:row r="4" ht="24" customHeight="1">
      <x:c r="A4" s="9" t="str">
        <x:v>Metric</x:v>
      </x:c>
      <x:c r="B4" s="9" t="str">
        <x:v>FY2021</x:v>
      </x:c>
      <x:c r="C4" s="9" t="str">
        <x:v>FY2022</x:v>
      </x:c>
      <x:c r="D4" s="9" t="str">
        <x:v>FY2023</x:v>
      </x:c>
      <x:c r="E4" s="9" t="str">
        <x:v>FY2024</x:v>
      </x:c>
      <x:c r="F4" s="9" t="str">
        <x:v>FY2025</x:v>
      </x:c>
      <x:c r="G4" t="str">
        <x:v>Units</x:v>
      </x:c>
      <x:c r="H4" t="str">
        <x:v>Primary sources</x:v>
      </x:c>
    </x:row>
    <x:row r="5">
      <x:c r="A5" t="str">
        <x:v>Revenue passenger miles (million)</x:v>
      </x:c>
      <x:c r="B5" s="38" t="n">
        <x:v>134692</x:v>
      </x:c>
      <x:c r="C5" s="38" t="n">
        <x:v>195480</x:v>
      </x:c>
      <x:c r="D5" s="38" t="n">
        <x:v>232241</x:v>
      </x:c>
      <x:c r="E5" s="38" t="n">
        <x:v>246145</x:v>
      </x:c>
      <x:c r="F5" s="38" t="n">
        <x:v>249578</x:v>
      </x:c>
      <x:c r="G5" t="str">
        <x:v>million</x:v>
      </x:c>
      <x:c r="H5" t="str">
        <x:v>https://www.sec.gov/Archives/edgar/data/27904/000002790423000003/dal-20221231.htm | https://www.sec.gov/Archives/edgar/data/27904/000002790424000003/dal-20231231.htm | https://www.sec.gov/Archives/edgar/data/27904/000002790426000013/dal-20251231.htm</x:v>
      </x:c>
    </x:row>
    <x:row r="6">
      <x:c r="A6" t="str">
        <x:v>Available seat miles (million)</x:v>
      </x:c>
      <x:c r="B6" s="38" t="n">
        <x:v>194474</x:v>
      </x:c>
      <x:c r="C6" s="38" t="n">
        <x:v>233226</x:v>
      </x:c>
      <x:c r="D6" s="38" t="n">
        <x:v>272033</x:v>
      </x:c>
      <x:c r="E6" s="38" t="n">
        <x:v>288394</x:v>
      </x:c>
      <x:c r="F6" s="38" t="n">
        <x:v>298045</x:v>
      </x:c>
      <x:c r="G6" t="str">
        <x:v>million</x:v>
      </x:c>
      <x:c r="H6" t="str">
        <x:v>https://www.sec.gov/Archives/edgar/data/27904/000002790423000003/dal-20221231.htm | https://www.sec.gov/Archives/edgar/data/27904/000002790424000003/dal-20231231.htm | https://www.sec.gov/Archives/edgar/data/27904/000002790426000013/dal-20251231.htm</x:v>
      </x:c>
    </x:row>
    <x:row r="7">
      <x:c r="A7" t="str">
        <x:v>Passenger revenue per ASM (cents, disclosed)</x:v>
      </x:c>
      <x:c r="B7" s="42" t="n">
        <x:v>11.58</x:v>
      </x:c>
      <x:c r="C7" s="42" t="n">
        <x:v>17.24</x:v>
      </x:c>
      <x:c r="D7" s="42" t="n">
        <x:v>17.98</x:v>
      </x:c>
      <x:c r="E7" s="42" t="n">
        <x:v>17.65</x:v>
      </x:c>
      <x:c r="F7" s="42" t="n">
        <x:v>17.37</x:v>
      </x:c>
      <x:c r="G7" t="str">
        <x:v>cents/ASM</x:v>
      </x:c>
      <x:c r="H7" t="str">
        <x:v>https://www.sec.gov/Archives/edgar/data/27904/000002790423000003/dal-20221231.htm | https://www.sec.gov/Archives/edgar/data/27904/000002790424000003/dal-20231231.htm | https://www.sec.gov/Archives/edgar/data/27904/000002790426000013/dal-20251231.htm</x:v>
      </x:c>
    </x:row>
    <x:row r="8">
      <x:c r="A8" t="str">
        <x:v>Total revenue per ASM (cents, disclosed)</x:v>
      </x:c>
      <x:c r="B8" s="42" t="n">
        <x:v>15.37</x:v>
      </x:c>
      <x:c r="C8" s="42" t="n">
        <x:v>21.69</x:v>
      </x:c>
      <x:c r="D8" s="42" t="n">
        <x:v>21.34</x:v>
      </x:c>
      <x:c r="E8" s="42" t="n">
        <x:v>21.37</x:v>
      </x:c>
      <x:c r="F8" s="42" t="n">
        <x:v>21.26</x:v>
      </x:c>
      <x:c r="G8" t="str">
        <x:v>cents/ASM</x:v>
      </x:c>
      <x:c r="H8" t="str">
        <x:v>https://www.sec.gov/Archives/edgar/data/27904/000002790423000003/dal-20221231.htm | https://www.sec.gov/Archives/edgar/data/27904/000002790424000003/dal-20231231.htm | https://www.sec.gov/Archives/edgar/data/27904/000002790426000013/dal-20251231.htm</x:v>
      </x:c>
    </x:row>
    <x:row r="9">
      <x:c r="A9" t="str">
        <x:v>Cost per available seat mile (cents, disclosed)</x:v>
      </x:c>
      <x:c r="B9" s="42" t="n">
        <x:v>14.4</x:v>
      </x:c>
      <x:c r="C9" s="42" t="n">
        <x:v>20.12</x:v>
      </x:c>
      <x:c r="D9" s="42" t="n">
        <x:v>19.31</x:v>
      </x:c>
      <x:c r="E9" s="42" t="n">
        <x:v>19.3</x:v>
      </x:c>
      <x:c r="F9" s="42" t="n">
        <x:v>19.31</x:v>
      </x:c>
      <x:c r="G9" t="str">
        <x:v>cents/ASM</x:v>
      </x:c>
      <x:c r="H9" t="str">
        <x:v>https://www.sec.gov/Archives/edgar/data/27904/000002790423000003/dal-20221231.htm | https://www.sec.gov/Archives/edgar/data/27904/000002790424000003/dal-20231231.htm | https://www.sec.gov/Archives/edgar/data/27904/000002790426000013/dal-20251231.htm</x:v>
      </x:c>
    </x:row>
    <x:row r="10">
      <x:c r="A10" t="str">
        <x:v>CASM-Ex (cents, non-GAAP disclosed)</x:v>
      </x:c>
      <x:c r="B10" s="42" t="n">
        <x:v>12.12</x:v>
      </x:c>
      <x:c r="C10" s="42" t="n">
        <x:v>12.87</x:v>
      </x:c>
      <x:c r="D10" s="42" t="n">
        <x:v>13.17</x:v>
      </x:c>
      <x:c r="E10" s="42" t="n">
        <x:v>13.54</x:v>
      </x:c>
      <x:c r="F10" s="42" t="n">
        <x:v>13.86</x:v>
      </x:c>
      <x:c r="G10" t="str">
        <x:v>cents/ASM</x:v>
      </x:c>
      <x:c r="H10" t="str">
        <x:v>https://www.sec.gov/Archives/edgar/data/27904/000002790423000003/dal-20221231.htm | https://www.sec.gov/Archives/edgar/data/27904/000002790424000003/dal-20231231.htm | https://www.sec.gov/Archives/edgar/data/27904/000002790426000013/dal-20251231.htm</x:v>
      </x:c>
    </x:row>
    <x:row r="11">
      <x:c r="A11" t="str">
        <x:v>Passenger load factor (%, disclosed)</x:v>
      </x:c>
      <x:c r="B11" s="43" t="n">
        <x:v>69</x:v>
      </x:c>
      <x:c r="C11" s="43" t="n">
        <x:v>84</x:v>
      </x:c>
      <x:c r="D11" s="43" t="n">
        <x:v>85</x:v>
      </x:c>
      <x:c r="E11" s="43" t="n">
        <x:v>85</x:v>
      </x:c>
      <x:c r="F11" s="43" t="n">
        <x:v>84</x:v>
      </x:c>
      <x:c r="G11" t="str">
        <x:v>%</x:v>
      </x:c>
      <x:c r="H11" t="str">
        <x:v>https://www.sec.gov/Archives/edgar/data/27904/000002790423000003/dal-20221231.htm | https://www.sec.gov/Archives/edgar/data/27904/000002790424000003/dal-20231231.htm | https://www.sec.gov/Archives/edgar/data/27904/000002790426000013/dal-20251231.htm</x:v>
      </x:c>
    </x:row>
    <x:row r="12">
      <x:c r="A12" t="str">
        <x:v>Fuel gallons consumed (million)</x:v>
      </x:c>
      <x:c r="B12" s="38" t="n">
        <x:v>2778</x:v>
      </x:c>
      <x:c r="C12" s="38" t="n">
        <x:v>3412</x:v>
      </x:c>
      <x:c r="D12" s="38" t="n">
        <x:v>3926</x:v>
      </x:c>
      <x:c r="E12" s="38" t="n">
        <x:v>4114</x:v>
      </x:c>
      <x:c r="F12" s="38" t="n">
        <x:v>4269</x:v>
      </x:c>
      <x:c r="G12" t="str">
        <x:v>million</x:v>
      </x:c>
      <x:c r="H12" t="str">
        <x:v>https://www.sec.gov/Archives/edgar/data/27904/000002790423000003/dal-20221231.htm | https://www.sec.gov/Archives/edgar/data/27904/000002790424000003/dal-20231231.htm | https://www.sec.gov/Archives/edgar/data/27904/000002790426000013/dal-20251231.htm</x:v>
      </x:c>
    </x:row>
    <x:row r="13">
      <x:c r="A13" t="str">
        <x:v>Average fuel price per gallon ($, disclosed rounded)</x:v>
      </x:c>
      <x:c r="B13" s="43" t="n">
        <x:v>2.02</x:v>
      </x:c>
      <x:c r="C13" s="43" t="n">
        <x:v>3.36</x:v>
      </x:c>
      <x:c r="D13" s="43" t="n">
        <x:v>2.82</x:v>
      </x:c>
      <x:c r="E13" s="43" t="n">
        <x:v>2.57</x:v>
      </x:c>
      <x:c r="F13" s="43" t="n">
        <x:v>2.3</x:v>
      </x:c>
      <x:c r="G13" t="str">
        <x:v>USD per gallon</x:v>
      </x:c>
      <x:c r="H13" t="str">
        <x:v>https://www.sec.gov/Archives/edgar/data/27904/000002790423000003/dal-20221231.htm | https://www.sec.gov/Archives/edgar/data/27904/000002790424000003/dal-20231231.htm | https://www.sec.gov/Archives/edgar/data/27904/000002790426000013/dal-20251231.htm</x:v>
      </x:c>
    </x:row>
    <x:row r="15">
      <x:c r="A15" t="str">
        <x:v>Implied passenger revenue per ASM (USD)</x:v>
      </x:c>
      <x:c r="B15" s="18" t="n">
        <x:f>'Historical GAAP'!B5/B6</x:f>
        <x:v>0.1157943992513138</x:v>
      </x:c>
      <x:c r="C15" s="18" t="n">
        <x:f>'Historical GAAP'!C5/C6</x:f>
        <x:v>0.17244218054590826</x:v>
      </x:c>
      <x:c r="D15" s="18" t="n">
        <x:f>'Historical GAAP'!D5/D6</x:f>
        <x:v>0.17979068715927846</x:v>
      </x:c>
      <x:c r="E15" s="18" t="n">
        <x:f>'Historical GAAP'!E5/E6</x:f>
        <x:v>0.17647385174448843</x:v>
      </x:c>
      <x:c r="F15" s="18" t="n">
        <x:f>'Historical GAAP'!F5/F6</x:f>
        <x:v>0.17369189216393496</x:v>
      </x:c>
    </x:row>
    <x:row r="16">
      <x:c r="A16" t="str">
        <x:v>Implied fuel expense per gallon (USD)</x:v>
      </x:c>
      <x:c r="B16" s="18" t="n">
        <x:f>'Historical GAAP'!B10/B12</x:f>
        <x:v>2.027717782577394</x:v>
      </x:c>
      <x:c r="C16" s="18" t="n">
        <x:f>'Historical GAAP'!C10/C12</x:f>
        <x:v>3.365181711606096</x:v>
      </x:c>
      <x:c r="D16" s="18" t="n">
        <x:f>'Historical GAAP'!D10/D12</x:f>
        <x:v>2.8194090677534387</x:v>
      </x:c>
      <x:c r="E16" s="18" t="n">
        <x:f>'Historical GAAP'!E10/E12</x:f>
        <x:v>2.568303354399611</x:v>
      </x:c>
      <x:c r="F16" s="18" t="n">
        <x:f>'Historical GAAP'!F10/F12</x:f>
        <x:v>2.3000702740688688</x:v>
      </x:c>
    </x:row>
    <x:row r="17">
      <x:c r="A17" t="str">
        <x:v>GAAP labor expense per ASM (USD)</x:v>
      </x:c>
      <x:c r="B17" s="18" t="n">
        <x:f>'Historical GAAP'!B9/B6</x:f>
        <x:v>0.05002211092485371</x:v>
      </x:c>
      <x:c r="C17" s="18" t="n">
        <x:f>'Historical GAAP'!C9/C6</x:f>
        <x:v>0.05103204616980954</x:v>
      </x:c>
      <x:c r="D17" s="18" t="n">
        <x:f>'Historical GAAP'!D9/D6</x:f>
        <x:v>0.05369569133156639</x:v>
      </x:c>
      <x:c r="E17" s="18" t="n">
        <x:f>'Historical GAAP'!E9/E6</x:f>
        <x:v>0.05603792034508346</x:v>
      </x:c>
      <x:c r="F17" s="18" t="n">
        <x:f>'Historical GAAP'!F9/F6</x:f>
        <x:v>0.05878306967068731</x:v>
      </x:c>
    </x:row>
    <x:row r="18">
      <x:c r="A18" t="str">
        <x:v>GAAP nonfuel, nonlabor expense per ASM (USD)</x:v>
      </x:c>
      <x:c r="B18" s="18" t="n">
        <x:f>('Historical GAAP'!B24-'Historical GAAP'!B10-'Historical GAAP'!B9)/B6</x:f>
        <x:v>0.06505753982537511</x:v>
      </x:c>
      <x:c r="C18" s="18" t="n">
        <x:f>('Historical GAAP'!C24-'Historical GAAP'!C10-'Historical GAAP'!C9)/C6</x:f>
        <x:v>0.1009192800116625</x:v>
      </x:c>
      <x:c r="D18" s="18" t="n">
        <x:f>('Historical GAAP'!D24-'Historical GAAP'!D10-'Historical GAAP'!D9)/D6</x:f>
        <x:v>0.09870493653343528</x:v>
      </x:c>
      <x:c r="E18" s="18" t="n">
        <x:f>('Historical GAAP'!E24-'Historical GAAP'!E10-'Historical GAAP'!E9)/E6</x:f>
        <x:v>0.100282946247148</x:v>
      </x:c>
      <x:c r="F18" s="18" t="n">
        <x:f>('Historical GAAP'!F24-'Historical GAAP'!F10-'Historical GAAP'!F9)/F6</x:f>
        <x:v>0.1013370464191649</x:v>
      </x:c>
    </x:row>
    <x:row r="19">
      <x:c r="A19" t="str">
        <x:v>Fuel gallons per ASM</x:v>
      </x:c>
      <x:c r="B19" s="18" t="n">
        <x:f>B12/B6</x:f>
        <x:v>0.01428468587060481</x:v>
      </x:c>
      <x:c r="C19" s="18" t="n">
        <x:f>C12/C6</x:f>
        <x:v>0.014629586752763414</x:v>
      </x:c>
      <x:c r="D19" s="18" t="n">
        <x:f>D12/D6</x:f>
        <x:v>0.014432072579429701</x:v>
      </x:c>
      <x:c r="E19" s="18" t="n">
        <x:f>E12/E6</x:f>
        <x:v>0.014265206627044946</x:v>
      </x:c>
      <x:c r="F19" s="18" t="n">
        <x:f>F12/F6</x:f>
        <x:v>0.014323340435169186</x:v>
      </x:c>
    </x:row>
  </x:sheetData>
  <x:mergeCells>
    <x:mergeCell ref="A1:H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39" hidden="0" customWidth="1"/>
    <x:col min="2" max="2" width="15" hidden="0" customWidth="1"/>
    <x:col min="3" max="3" width="46" hidden="0" customWidth="1"/>
    <x:col min="4" max="4" width="15" hidden="0" customWidth="1"/>
    <x:col min="5" max="5" width="15" hidden="0" customWidth="1"/>
    <x:col min="6" max="6" width="15" hidden="0" customWidth="1"/>
  </x:cols>
  <x:sheetData>
    <x:row r="1" ht="32" customHeight="1">
      <x:c r="A1" s="4" t="str">
        <x:v>FY2024 → FY2025 GAAP OPERATING PROFIT BRIDGE</x:v>
      </x:c>
    </x:row>
    <x:row r="3" ht="25" customHeight="1">
      <x:c r="A3" t="str">
        <x:v>Line item</x:v>
      </x:c>
      <x:c r="B3" t="str">
        <x:v>USD mm</x:v>
      </x:c>
      <x:c r="C3" t="str">
        <x:v>Interpretation</x:v>
      </x:c>
    </x:row>
    <x:row r="4" ht="24" customHeight="1">
      <x:c r="A4" s="9"/>
      <x:c r="B4" s="9"/>
      <x:c r="C4" s="9"/>
      <x:c r="D4" s="9"/>
      <x:c r="E4" s="9"/>
      <x:c r="F4" s="9"/>
    </x:row>
    <x:row r="5">
      <x:c r="A5" t="str">
        <x:v>FY2024 operating income</x:v>
      </x:c>
      <x:c r="B5" s="12" t="n">
        <x:f>'Historical GAAP'!E25</x:f>
        <x:v>5995</x:v>
      </x:c>
      <x:c r="C5" t="str">
        <x:v>As reported</x:v>
      </x:c>
    </x:row>
    <x:row r="6">
      <x:c r="A6" t="str">
        <x:v>Passenger revenue change</x:v>
      </x:c>
      <x:c r="B6" s="12" t="n">
        <x:f>'Historical GAAP'!F5-'Historical GAAP'!E5</x:f>
        <x:v>874</x:v>
      </x:c>
      <x:c r="C6" t="str">
        <x:v>Positive = higher 2025 revenue</x:v>
      </x:c>
    </x:row>
    <x:row r="7">
      <x:c r="A7" t="str">
        <x:v>Cargo revenue change</x:v>
      </x:c>
      <x:c r="B7" s="12" t="n">
        <x:f>'Historical GAAP'!F6-'Historical GAAP'!E6</x:f>
        <x:v>78</x:v>
      </x:c>
      <x:c r="C7" t="str">
        <x:v>Positive = higher 2025 revenue</x:v>
      </x:c>
    </x:row>
    <x:row r="8">
      <x:c r="A8" t="str">
        <x:v>Other revenue change</x:v>
      </x:c>
      <x:c r="B8" s="12" t="n">
        <x:f>'Historical GAAP'!F7-'Historical GAAP'!E7</x:f>
        <x:v>769</x:v>
      </x:c>
      <x:c r="C8" t="str">
        <x:v>Contains refinery/ancillary activity</x:v>
      </x:c>
    </x:row>
    <x:row r="9">
      <x:c r="A9" t="str">
        <x:v>Salaries expense increase</x:v>
      </x:c>
      <x:c r="B9" s="12" t="n">
        <x:f>-('Historical GAAP'!F9-'Historical GAAP'!E9)</x:f>
        <x:v>-1359</x:v>
      </x:c>
      <x:c r="C9" t="str">
        <x:v>Negative = cost pressure</x:v>
      </x:c>
    </x:row>
    <x:row r="10">
      <x:c r="A10" t="str">
        <x:v>Fuel cost change</x:v>
      </x:c>
      <x:c r="B10" s="12" t="n">
        <x:f>-('Historical GAAP'!F10-'Historical GAAP'!E10)</x:f>
        <x:v>747</x:v>
      </x:c>
      <x:c r="C10" t="str">
        <x:v>Decrease in fuel cost is positive</x:v>
      </x:c>
    </x:row>
    <x:row r="11">
      <x:c r="A11" t="str">
        <x:v>Other operating expense change</x:v>
      </x:c>
      <x:c r="B11" s="12" t="n">
        <x:f>-(('Historical GAAP'!F24-'Historical GAAP'!F9-'Historical GAAP'!F10)-('Historical GAAP'!E24-'Historical GAAP'!E9-'Historical GAAP'!E10))</x:f>
        <x:v>-1282</x:v>
      </x:c>
      <x:c r="C11" t="str">
        <x:v>All other categories, GAAP basis</x:v>
      </x:c>
    </x:row>
    <x:row r="12">
      <x:c r="A12" s="34" t="str">
        <x:v>Modeled FY2025 operating income</x:v>
      </x:c>
      <x:c r="B12" s="35" t="n">
        <x:f>SUM(B5:B11)</x:f>
        <x:v>5822</x:v>
      </x:c>
      <x:c r="C12" s="34" t="str">
        <x:v>Must equal reported operating income</x:v>
      </x:c>
      <x:c r="D12" s="34"/>
      <x:c r="E12" s="34"/>
      <x:c r="F12" s="34"/>
    </x:row>
    <x:row r="13">
      <x:c r="A13" t="str">
        <x:v>Reported FY2025 operating income</x:v>
      </x:c>
      <x:c r="B13" s="12" t="n">
        <x:f>'Historical GAAP'!F25</x:f>
        <x:v>5822</x:v>
      </x:c>
      <x:c r="C13" t="str">
        <x:v>SEC 10-K</x:v>
      </x:c>
    </x:row>
    <x:row r="14">
      <x:c r="A14" s="34" t="str">
        <x:v>Reconciliation difference</x:v>
      </x:c>
      <x:c r="B14" s="35" t="n">
        <x:f>B12-B13</x:f>
        <x:v>0</x:v>
      </x:c>
      <x:c r="C14" s="34" t="str">
        <x:v>Target zero</x:v>
      </x:c>
      <x:c r="D14" s="34"/>
      <x:c r="E14" s="34"/>
      <x:c r="F14" s="34"/>
    </x:row>
    <x:row r="15">
      <x:c r="B15" s="12"/>
    </x:row>
    <x:row r="16">
      <x:c r="B16" s="12"/>
    </x:row>
    <x:row r="17">
      <x:c r="A17" t="str">
        <x:v>2024 implied fuel price ($/gal)</x:v>
      </x:c>
      <x:c r="B17" s="12" t="n">
        <x:f>'Operating Drivers'!E16</x:f>
        <x:v>2.568303354399611</x:v>
      </x:c>
      <x:c r="C17" t="str">
        <x:v>Calculated exactly from reported expense/gallons</x:v>
      </x:c>
    </x:row>
    <x:row r="18">
      <x:c r="A18" t="str">
        <x:v>2025 implied fuel price ($/gal)</x:v>
      </x:c>
      <x:c r="B18" s="12" t="n">
        <x:f>'Operating Drivers'!F16</x:f>
        <x:v>2.3000702740688688</x:v>
      </x:c>
      <x:c r="C18" t="str">
        <x:v>Not the rounded disclosed price</x:v>
      </x:c>
    </x:row>
    <x:row r="19">
      <x:c r="A19" t="str">
        <x:v>2024 fuel gallons (mm)</x:v>
      </x:c>
      <x:c r="B19" s="12" t="n">
        <x:f>'Operating Drivers'!E12</x:f>
        <x:v>4114</x:v>
      </x:c>
      <x:c r="C19" t="str">
        <x:v>Reported</x:v>
      </x:c>
    </x:row>
    <x:row r="20">
      <x:c r="A20" t="str">
        <x:v>2025 fuel gallons (mm)</x:v>
      </x:c>
      <x:c r="B20" s="12" t="n">
        <x:f>'Operating Drivers'!F12</x:f>
        <x:v>4269</x:v>
      </x:c>
      <x:c r="C20" t="str">
        <x:v>Reported</x:v>
      </x:c>
    </x:row>
    <x:row r="21">
      <x:c r="B21" s="12"/>
    </x:row>
    <x:row r="22">
      <x:c r="A22" t="str">
        <x:v>Fuel price effect (cost delta)</x:v>
      </x:c>
      <x:c r="B22" s="12" t="n">
        <x:f>(B18-B17)*B19</x:f>
        <x:v>-1103.5108924806743</x:v>
      </x:c>
      <x:c r="C22" t="str">
        <x:v>Price change at previous year's gallons</x:v>
      </x:c>
    </x:row>
    <x:row r="23">
      <x:c r="A23" t="str">
        <x:v>Fuel volume effect (cost delta)</x:v>
      </x:c>
      <x:c r="B23" s="12" t="n">
        <x:f>(B20-B19)*B18</x:f>
        <x:v>356.51089248067467</x:v>
      </x:c>
      <x:c r="C23" t="str">
        <x:v>Change in gallons at current implied price</x:v>
      </x:c>
    </x:row>
    <x:row r="24">
      <x:c r="A24" s="34" t="str">
        <x:v>Total decomposed fuel expense change</x:v>
      </x:c>
      <x:c r="B24" s="35" t="n">
        <x:f>SUM(B22:B23)</x:f>
        <x:v>-746.9999999999997</x:v>
      </x:c>
      <x:c r="C24" s="34" t="str">
        <x:v>Cost effect; negative is a reduction</x:v>
      </x:c>
      <x:c r="D24" s="34"/>
      <x:c r="E24" s="34"/>
      <x:c r="F24" s="34"/>
    </x:row>
    <x:row r="25">
      <x:c r="A25" t="str">
        <x:v>Actual reported fuel expense change</x:v>
      </x:c>
      <x:c r="B25" s="12" t="n">
        <x:f>'Historical GAAP'!F10-'Historical GAAP'!E10</x:f>
        <x:v>-747</x:v>
      </x:c>
      <x:c r="C25" t="str">
        <x:v>Cost effect</x:v>
      </x:c>
    </x:row>
    <x:row r="26">
      <x:c r="A26" s="34" t="str">
        <x:v>Fuel decomposition difference</x:v>
      </x:c>
      <x:c r="B26" s="35" t="n">
        <x:f>B24-B25</x:f>
        <x:v>3.410605131648481e-13</x:v>
      </x:c>
      <x:c r="C26" s="34" t="str">
        <x:v>Target zero</x:v>
      </x:c>
      <x:c r="D26" s="34"/>
      <x:c r="E26" s="34"/>
      <x:c r="F26" s="34"/>
    </x:row>
    <x:row r="28">
      <x:c r="A28" t="str">
        <x:v>Interpretation: waterfall figures are arithmetic contributions to GAAP operating profit, not causal attribution.</x:v>
      </x:c>
    </x:row>
  </x:sheetData>
  <x:mergeCells>
    <x:mergeCell ref="A1:E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56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</x:cols>
  <x:sheetData>
    <x:row r="1" ht="32" customHeight="1">
      <x:c r="A1" s="4" t="str">
        <x:v>STUDENT SCENARIO ASSUMPTIONS | NOT DELTA GUIDANCE</x:v>
      </x:c>
    </x:row>
    <x:row r="3" ht="25" customHeight="1">
      <x:c r="A3" t="str">
        <x:v>Driver</x:v>
      </x:c>
      <x:c r="B3" t="str">
        <x:v>FY2026</x:v>
      </x:c>
      <x:c r="C3" t="str">
        <x:v>FY2027</x:v>
      </x:c>
      <x:c r="D3" t="str">
        <x:v>FY2028</x:v>
      </x:c>
    </x:row>
    <x:row r="4" ht="24" customHeight="1">
      <x:c r="A4" s="9"/>
      <x:c r="B4" s="9"/>
      <x:c r="C4" s="9"/>
      <x:c r="D4" s="9"/>
      <x:c r="E4" s="9"/>
      <x:c r="F4" s="9"/>
    </x:row>
    <x:row r="6">
      <x:c r="A6" t="str">
        <x:v>ASM capacity growth</x:v>
      </x:c>
      <x:c r="B6" s="22" t="n">
        <x:v>0.03</x:v>
      </x:c>
      <x:c r="C6" s="22" t="n">
        <x:v>0.03</x:v>
      </x:c>
      <x:c r="D6" s="22" t="n">
        <x:v>0.028</x:v>
      </x:c>
    </x:row>
    <x:row r="7">
      <x:c r="A7" t="str">
        <x:v>Passenger yield (PRASM) growth</x:v>
      </x:c>
      <x:c r="B7" s="22" t="n">
        <x:v>0.005</x:v>
      </x:c>
      <x:c r="C7" s="22" t="n">
        <x:v>0.01</x:v>
      </x:c>
      <x:c r="D7" s="22" t="n">
        <x:v>0.01</x:v>
      </x:c>
    </x:row>
    <x:row r="8">
      <x:c r="A8" t="str">
        <x:v>Cargo revenue growth</x:v>
      </x:c>
      <x:c r="B8" s="22" t="n">
        <x:v>0.03</x:v>
      </x:c>
      <x:c r="C8" s="22" t="n">
        <x:v>0.03</x:v>
      </x:c>
      <x:c r="D8" s="22" t="n">
        <x:v>0.03</x:v>
      </x:c>
    </x:row>
    <x:row r="9">
      <x:c r="A9" t="str">
        <x:v>Other revenue growth</x:v>
      </x:c>
      <x:c r="B9" s="22" t="n">
        <x:v>0.04</x:v>
      </x:c>
      <x:c r="C9" s="22" t="n">
        <x:v>0.04</x:v>
      </x:c>
      <x:c r="D9" s="22" t="n">
        <x:v>0.04</x:v>
      </x:c>
    </x:row>
    <x:row r="10">
      <x:c r="A10" t="str">
        <x:v>Fuel efficiency improvement (gal/ASM)</x:v>
      </x:c>
      <x:c r="B10" s="22" t="n">
        <x:v>0.005</x:v>
      </x:c>
      <x:c r="C10" s="22" t="n">
        <x:v>0.005</x:v>
      </x:c>
      <x:c r="D10" s="22" t="n">
        <x:v>0.005</x:v>
      </x:c>
    </x:row>
    <x:row r="11">
      <x:c r="A11" t="str">
        <x:v>Fuel price change</x:v>
      </x:c>
      <x:c r="B11" s="22" t="n">
        <x:v>0</x:v>
      </x:c>
      <x:c r="C11" s="22" t="n">
        <x:v>0.02</x:v>
      </x:c>
      <x:c r="D11" s="22" t="n">
        <x:v>0.02</x:v>
      </x:c>
    </x:row>
    <x:row r="12">
      <x:c r="A12" t="str">
        <x:v>Labor cost per ASM inflation</x:v>
      </x:c>
      <x:c r="B12" s="22" t="n">
        <x:v>0.03</x:v>
      </x:c>
      <x:c r="C12" s="22" t="n">
        <x:v>0.03</x:v>
      </x:c>
      <x:c r="D12" s="22" t="n">
        <x:v>0.03</x:v>
      </x:c>
    </x:row>
    <x:row r="13">
      <x:c r="A13" t="str">
        <x:v>Other nonfuel nonlabor cost per ASM inflation</x:v>
      </x:c>
      <x:c r="B13" s="22" t="n">
        <x:v>0.02</x:v>
      </x:c>
      <x:c r="C13" s="22" t="n">
        <x:v>0.02</x:v>
      </x:c>
      <x:c r="D13" s="22" t="n">
        <x:v>0.02</x:v>
      </x:c>
    </x:row>
    <x:row r="16">
      <x:c r="A16" t="str">
        <x:v>YELLOW CELLS: EDITABLE INDEPENDENT ASSUMPTIONS. GAAP historical input values are on Historical GAAP.</x:v>
      </x:c>
    </x:row>
    <x:row r="17">
      <x:c r="A17" t="str">
        <x:v>FY2026–FY2028 are hypothetical planning cases using 2025 baselines, NOT forecasts provided by Delta.</x:v>
      </x:c>
    </x:row>
  </x:sheetData>
  <x:mergeCells>
    <x:mergeCell ref="A1:D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46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</x:cols>
  <x:sheetData>
    <x:row r="1" ht="32" customHeight="1">
      <x:c r="A1" s="4" t="str">
        <x:v>DELTA | DRIVER-BASED OPERATING FORECAST · FY2026–FY2028</x:v>
      </x:c>
    </x:row>
    <x:row r="3" ht="25" customHeight="1">
      <x:c r="A3" t="str">
        <x:v>USD mm unless labeled</x:v>
      </x:c>
      <x:c r="B3" t="str">
        <x:v>FY2025 ACTUAL</x:v>
      </x:c>
      <x:c r="C3" t="str">
        <x:v>FY2026 CASE</x:v>
      </x:c>
      <x:c r="D3" t="str">
        <x:v>FY2027 CASE</x:v>
      </x:c>
      <x:c r="E3" t="str">
        <x:v>FY2028 CASE</x:v>
      </x:c>
    </x:row>
    <x:row r="4" ht="24" customHeight="1">
      <x:c r="A4" s="9"/>
      <x:c r="B4" s="9"/>
      <x:c r="C4" s="9"/>
      <x:c r="D4" s="9"/>
      <x:c r="E4" s="9"/>
      <x:c r="F4" s="9"/>
    </x:row>
    <x:row r="5">
      <x:c r="A5" t="str">
        <x:v>Capacity / available seat miles (mm)</x:v>
      </x:c>
      <x:c r="B5" s="12" t="n">
        <x:f>'Operating Drivers'!F6</x:f>
        <x:v>298045</x:v>
      </x:c>
      <x:c r="C5" s="12" t="n">
        <x:f>B5*(1+'Forecast Inputs'!B6)</x:f>
        <x:v>306986.35000000003</x:v>
      </x:c>
      <x:c r="D5" s="12" t="n">
        <x:f>C5*(1+'Forecast Inputs'!C6)</x:f>
        <x:v>316195.9405</x:v>
      </x:c>
      <x:c r="E5" s="12" t="n">
        <x:f>D5*(1+'Forecast Inputs'!D6)</x:f>
        <x:v>325049.42683400004</x:v>
      </x:c>
    </x:row>
    <x:row r="6">
      <x:c r="A6" t="str">
        <x:v>Implied passenger revenue per ASM ($)</x:v>
      </x:c>
      <x:c r="B6" s="18" t="n">
        <x:f>'Historical GAAP'!F5/B5</x:f>
        <x:v>0.17369189216393496</x:v>
      </x:c>
      <x:c r="C6" s="18" t="n">
        <x:f>B6*(1+'Forecast Inputs'!B7)</x:f>
        <x:v>0.1745603516247546</x:v>
      </x:c>
      <x:c r="D6" s="18" t="n">
        <x:f>C6*(1+'Forecast Inputs'!C7)</x:f>
        <x:v>0.17630595514100217</x:v>
      </x:c>
      <x:c r="E6" s="18" t="n">
        <x:f>D6*(1+'Forecast Inputs'!D7)</x:f>
        <x:v>0.17806901469241218</x:v>
      </x:c>
    </x:row>
    <x:row r="7">
      <x:c r="A7" t="str">
        <x:v>Passenger revenue</x:v>
      </x:c>
      <x:c r="B7" s="12" t="n">
        <x:f>'Historical GAAP'!F5</x:f>
        <x:v>51768</x:v>
      </x:c>
      <x:c r="C7" s="12" t="n">
        <x:f>C5*C6</x:f>
        <x:v>53587.64519999999</x:v>
      </x:c>
      <x:c r="D7" s="12" t="n">
        <x:f>D5*D6</x:f>
        <x:v>55747.22730155999</x:v>
      </x:c>
      <x:c r="E7" s="12" t="n">
        <x:f>E5*E6</x:f>
        <x:v>57881.23116266371</x:v>
      </x:c>
    </x:row>
    <x:row r="8">
      <x:c r="A8" t="str">
        <x:v>Cargo revenue</x:v>
      </x:c>
      <x:c r="B8" s="12" t="n">
        <x:f>'Historical GAAP'!F6</x:f>
        <x:v>900</x:v>
      </x:c>
      <x:c r="C8" s="12" t="n">
        <x:f>B8*(1+'Forecast Inputs'!B8)</x:f>
        <x:v>927</x:v>
      </x:c>
      <x:c r="D8" s="12" t="n">
        <x:f>C8*(1+'Forecast Inputs'!C8)</x:f>
        <x:v>954.8100000000001</x:v>
      </x:c>
      <x:c r="E8" s="12" t="n">
        <x:f>D8*(1+'Forecast Inputs'!D8)</x:f>
        <x:v>983.4543000000001</x:v>
      </x:c>
    </x:row>
    <x:row r="9">
      <x:c r="A9" t="str">
        <x:v>Other revenue</x:v>
      </x:c>
      <x:c r="B9" s="12" t="n">
        <x:f>'Historical GAAP'!F7</x:f>
        <x:v>10696</x:v>
      </x:c>
      <x:c r="C9" s="12" t="n">
        <x:f>B9*(1+'Forecast Inputs'!B9)</x:f>
        <x:v>11123.84</x:v>
      </x:c>
      <x:c r="D9" s="12" t="n">
        <x:f>C9*(1+'Forecast Inputs'!C9)</x:f>
        <x:v>11568.7936</x:v>
      </x:c>
      <x:c r="E9" s="12" t="n">
        <x:f>D9*(1+'Forecast Inputs'!D9)</x:f>
        <x:v>12031.545344000002</x:v>
      </x:c>
    </x:row>
    <x:row r="10">
      <x:c r="A10" s="34" t="str">
        <x:v>TOTAL OPERATING REVENUE</x:v>
      </x:c>
      <x:c r="B10" s="35" t="n">
        <x:f>'Historical GAAP'!F8</x:f>
        <x:v>63364</x:v>
      </x:c>
      <x:c r="C10" s="35" t="n">
        <x:f>SUM(C7:C9)</x:f>
        <x:v>65638.4852</x:v>
      </x:c>
      <x:c r="D10" s="35" t="n">
        <x:f>SUM(D7:D9)</x:f>
        <x:v>68270.83090156</x:v>
      </x:c>
      <x:c r="E10" s="35" t="n">
        <x:f>SUM(E7:E9)</x:f>
        <x:v>70896.2308066637</x:v>
      </x:c>
      <x:c r="F10" s="34"/>
    </x:row>
    <x:row r="11">
      <x:c r="B11" s="12"/>
      <x:c r="C11" s="12"/>
      <x:c r="D11" s="12"/>
      <x:c r="E11" s="12"/>
    </x:row>
    <x:row r="12">
      <x:c r="A12" t="str">
        <x:v>Fuel gallons (mm)</x:v>
      </x:c>
      <x:c r="B12" s="12" t="n">
        <x:f>'Operating Drivers'!F12</x:f>
        <x:v>4269</x:v>
      </x:c>
      <x:c r="C12" s="12" t="n">
        <x:f>B12*(C5/B5)*(1-'Forecast Inputs'!B10)</x:f>
        <x:v>4375.08465</x:v>
      </x:c>
      <x:c r="D12" s="12" t="n">
        <x:f>C12*(D5/C5)*(1-'Forecast Inputs'!C10)</x:f>
        <x:v>4483.8055035525</x:v>
      </x:c>
      <x:c r="E12" s="12" t="n">
        <x:f>D12*(E5/D5)*(1-'Forecast Inputs'!D10)</x:f>
        <x:v>4586.30529736371</x:v>
      </x:c>
    </x:row>
    <x:row r="13">
      <x:c r="A13" t="str">
        <x:v>Implied fuel cost per gallon ($)</x:v>
      </x:c>
      <x:c r="B13" s="18" t="n">
        <x:f>'Historical GAAP'!F10/B12</x:f>
        <x:v>2.3000702740688688</x:v>
      </x:c>
      <x:c r="C13" s="18" t="n">
        <x:f>B13*(1+'Forecast Inputs'!B11)</x:f>
        <x:v>2.3000702740688688</x:v>
      </x:c>
      <x:c r="D13" s="18" t="n">
        <x:f>C13*(1+'Forecast Inputs'!C11)</x:f>
        <x:v>2.346071679550246</x:v>
      </x:c>
      <x:c r="E13" s="18" t="n">
        <x:f>D13*(1+'Forecast Inputs'!D11)</x:f>
        <x:v>2.392993113141251</x:v>
      </x:c>
    </x:row>
    <x:row r="14">
      <x:c r="A14" t="str">
        <x:v>Fuel expense</x:v>
      </x:c>
      <x:c r="B14" s="12" t="n">
        <x:f>'Historical GAAP'!F10</x:f>
        <x:v>9819</x:v>
      </x:c>
      <x:c r="C14" s="12" t="n">
        <x:f>C12*C13</x:f>
        <x:v>10063.00215</x:v>
      </x:c>
      <x:c r="D14" s="12" t="n">
        <x:f>D12*D13</x:f>
        <x:v>10519.329108496051</x:v>
      </x:c>
      <x:c r="E14" s="12" t="n">
        <x:f>E12*E13</x:f>
        <x:v>10974.996991354597</x:v>
      </x:c>
    </x:row>
    <x:row r="15">
      <x:c r="A15" t="str">
        <x:v>Labor cost per ASM ($)</x:v>
      </x:c>
      <x:c r="B15" s="18" t="n">
        <x:f>'Historical GAAP'!F9/B5</x:f>
        <x:v>0.05878306967068731</x:v>
      </x:c>
      <x:c r="C15" s="18" t="n">
        <x:f>B15*(1+'Forecast Inputs'!B12)</x:f>
        <x:v>0.06054656176080793</x:v>
      </x:c>
      <x:c r="D15" s="18" t="n">
        <x:f>C15*(1+'Forecast Inputs'!C12)</x:f>
        <x:v>0.06236295861363217</x:v>
      </x:c>
      <x:c r="E15" s="18" t="n">
        <x:f>D15*(1+'Forecast Inputs'!D12)</x:f>
        <x:v>0.06423384737204113</x:v>
      </x:c>
    </x:row>
    <x:row r="16">
      <x:c r="A16" t="str">
        <x:v>Salaries &amp; related expense</x:v>
      </x:c>
      <x:c r="B16" s="12" t="n">
        <x:f>'Historical GAAP'!F9</x:f>
        <x:v>17520</x:v>
      </x:c>
      <x:c r="C16" s="12" t="n">
        <x:f>C5*C15</x:f>
        <x:v>18586.968</x:v>
      </x:c>
      <x:c r="D16" s="12" t="n">
        <x:f>D5*D15</x:f>
        <x:v>19718.9143512</x:v>
      </x:c>
      <x:c r="E16" s="12" t="n">
        <x:f>E5*E15</x:f>
        <x:v>20879.17527162461</x:v>
      </x:c>
    </x:row>
    <x:row r="17">
      <x:c r="A17" t="str">
        <x:v>Other nonfuel nonlabor cost per ASM ($)</x:v>
      </x:c>
      <x:c r="B17" s="18" t="n">
        <x:f>('Historical GAAP'!F24-B14-B16)/B5</x:f>
        <x:v>0.1013370464191649</x:v>
      </x:c>
      <x:c r="C17" s="18" t="n">
        <x:f>B17*(1+'Forecast Inputs'!B13)</x:f>
        <x:v>0.1033637873475482</x:v>
      </x:c>
      <x:c r="D17" s="18" t="n">
        <x:f>C17*(1+'Forecast Inputs'!C13)</x:f>
        <x:v>0.10543106309449916</x:v>
      </x:c>
      <x:c r="E17" s="18" t="n">
        <x:f>D17*(1+'Forecast Inputs'!D13)</x:f>
        <x:v>0.10753968435638915</x:v>
      </x:c>
    </x:row>
    <x:row r="18">
      <x:c r="A18" t="str">
        <x:v>Other nonfuel nonlabor expense</x:v>
      </x:c>
      <x:c r="B18" s="12" t="n">
        <x:f>'Historical GAAP'!F24-B14-B16</x:f>
        <x:v>30203</x:v>
      </x:c>
      <x:c r="C18" s="12" t="n">
        <x:f>C5*C17</x:f>
        <x:v>31731.271800000006</x:v>
      </x:c>
      <x:c r="D18" s="12" t="n">
        <x:f>D5*D17</x:f>
        <x:v>33336.87415308</x:v>
      </x:c>
      <x:c r="E18" s="12" t="n">
        <x:f>E5*E17</x:f>
        <x:v>34955.712761953575</x:v>
      </x:c>
    </x:row>
    <x:row r="19">
      <x:c r="A19" s="34" t="str">
        <x:v>TOTAL OPERATING EXPENSE</x:v>
      </x:c>
      <x:c r="B19" s="35" t="n">
        <x:f>'Historical GAAP'!F24</x:f>
        <x:v>57542</x:v>
      </x:c>
      <x:c r="C19" s="35" t="n">
        <x:f>SUM(C14,C16,C18)</x:f>
        <x:v>60381.24195000001</x:v>
      </x:c>
      <x:c r="D19" s="35" t="n">
        <x:f>SUM(D14,D16,D18)</x:f>
        <x:v>63575.117612776055</x:v>
      </x:c>
      <x:c r="E19" s="35" t="n">
        <x:f>SUM(E14,E16,E18)</x:f>
        <x:v>66809.88502493278</x:v>
      </x:c>
      <x:c r="F19" s="34"/>
    </x:row>
    <x:row r="20">
      <x:c r="B20" s="12"/>
      <x:c r="C20" s="12"/>
      <x:c r="D20" s="12"/>
      <x:c r="E20" s="12"/>
    </x:row>
    <x:row r="21">
      <x:c r="A21" s="34" t="str">
        <x:v>OPERATING INCOME</x:v>
      </x:c>
      <x:c r="B21" s="35" t="n">
        <x:f>'Historical GAAP'!F25</x:f>
        <x:v>5822</x:v>
      </x:c>
      <x:c r="C21" s="35" t="n">
        <x:f>C10-C19</x:f>
        <x:v>5257.243249999985</x:v>
      </x:c>
      <x:c r="D21" s="35" t="n">
        <x:f>D10-D19</x:f>
        <x:v>4695.71328878394</x:v>
      </x:c>
      <x:c r="E21" s="35" t="n">
        <x:f>E10-E19</x:f>
        <x:v>4086.3457817309245</x:v>
      </x:c>
      <x:c r="F21" s="34"/>
    </x:row>
    <x:row r="22">
      <x:c r="A22" t="str">
        <x:v>Operating margin</x:v>
      </x:c>
      <x:c r="B22" s="14" t="n">
        <x:f>B21/B10</x:f>
        <x:v>0.09188182564232056</x:v>
      </x:c>
      <x:c r="C22" s="14" t="n">
        <x:f>C21/C10</x:f>
        <x:v>0.08009391493391724</x:v>
      </x:c>
      <x:c r="D22" s="14" t="n">
        <x:f>D21/D10</x:f>
        <x:v>0.06878066703999412</x:v>
      </x:c>
      <x:c r="E22" s="14" t="n">
        <x:f>E21/E10</x:f>
        <x:v>0.057638406657675785</x:v>
      </x:c>
    </x:row>
    <x:row r="23">
      <x:c r="A23" t="str">
        <x:v>Revenue YoY growth</x:v>
      </x:c>
      <x:c r="B23" s="14" t="n">
        <x:f>'Historical GAAP'!F28</x:f>
        <x:v>0.027918822899599238</x:v>
      </x:c>
      <x:c r="C23" s="14" t="n">
        <x:f>C10/B10-1</x:f>
        <x:v>0.0358955432106558</x:v>
      </x:c>
      <x:c r="D23" s="14" t="n">
        <x:f>D10/C10-1</x:f>
        <x:v>0.04010369364160771</x:v>
      </x:c>
      <x:c r="E23" s="14" t="n">
        <x:f>E10/D10-1</x:f>
        <x:v>0.0384556606450166</x:v>
      </x:c>
    </x:row>
    <x:row r="24">
      <x:c r="A24" t="str">
        <x:v>Operating income YoY change</x:v>
      </x:c>
      <x:c r="B24" s="12" t="n">
        <x:f>'Historical GAAP'!F25-'Historical GAAP'!E25</x:f>
        <x:v>-173</x:v>
      </x:c>
      <x:c r="C24" s="12" t="n">
        <x:f>C21-B21</x:f>
        <x:v>-564.756750000015</x:v>
      </x:c>
      <x:c r="D24" s="12" t="n">
        <x:f>D21-C21</x:f>
        <x:v>-561.5299612160452</x:v>
      </x:c>
      <x:c r="E24" s="12" t="n">
        <x:f>E21-D21</x:f>
        <x:v>-609.3675070530153</x:v>
      </x:c>
    </x:row>
  </x:sheetData>
  <x:mergeCells>
    <x:mergeCell ref="A1:E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39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</x:cols>
  <x:sheetData>
    <x:row r="1" ht="32" customHeight="1">
      <x:c r="A1" s="4" t="str">
        <x:v>FY2026 EBIT WHAT-IF · FUEL PRICE VS PASSENGER YIELD</x:v>
      </x:c>
    </x:row>
    <x:row r="3" ht="25" customHeight="1">
      <x:c r="A3" t="str">
        <x:v>Modeled FY2026 operating income (USD mm)</x:v>
      </x:c>
      <x:c r="B3" t="n">
        <x:f>'Operating Forecast'!C21</x:f>
        <x:v>5257.243249999985</x:v>
      </x:c>
    </x:row>
    <x:row r="4" ht="24" customHeight="1">
      <x:c r="A4" s="9"/>
      <x:c r="B4" s="9"/>
      <x:c r="C4" s="9"/>
      <x:c r="D4" s="9"/>
      <x:c r="E4" s="9"/>
      <x:c r="F4" s="9"/>
    </x:row>
    <x:row r="5">
      <x:c r="A5" t="str">
        <x:v>Columns: additional change in passenger yield; rows: additional change in fuel price. All else held constant.</x:v>
      </x:c>
    </x:row>
    <x:row r="7">
      <x:c r="A7" t="str">
        <x:v>Fuel shock \ Yield shock</x:v>
      </x:c>
      <x:c r="B7" s="14" t="n">
        <x:v>-0.04</x:v>
      </x:c>
      <x:c r="C7" s="14" t="n">
        <x:v>-0.02</x:v>
      </x:c>
      <x:c r="D7" s="14" t="n">
        <x:v>0</x:v>
      </x:c>
      <x:c r="E7" s="14" t="n">
        <x:v>0.02</x:v>
      </x:c>
      <x:c r="F7" s="14" t="n">
        <x:v>0.04</x:v>
      </x:c>
    </x:row>
    <x:row r="8">
      <x:c r="A8" s="14" t="n">
        <x:v>-0.2</x:v>
      </x:c>
      <x:c r="B8" s="12" t="n">
        <x:f>'Operating Forecast'!$C$21+'Operating Forecast'!$C$7*B$7-'Operating Forecast'!$C$14*$A8</x:f>
        <x:v>5126.3378719999855</x:v>
      </x:c>
      <x:c r="C8" s="12" t="n">
        <x:f>'Operating Forecast'!$C$21+'Operating Forecast'!$C$7*C$7-'Operating Forecast'!$C$14*$A8</x:f>
        <x:v>6198.090775999985</x:v>
      </x:c>
      <x:c r="D8" s="12" t="n">
        <x:f>'Operating Forecast'!$C$21+'Operating Forecast'!$C$7*D$7-'Operating Forecast'!$C$14*$A8</x:f>
        <x:v>7269.843679999985</x:v>
      </x:c>
      <x:c r="E8" s="12" t="n">
        <x:f>'Operating Forecast'!$C$21+'Operating Forecast'!$C$7*E$7-'Operating Forecast'!$C$14*$A8</x:f>
        <x:v>8341.596583999984</x:v>
      </x:c>
      <x:c r="F8" s="12" t="n">
        <x:f>'Operating Forecast'!$C$21+'Operating Forecast'!$C$7*F$7-'Operating Forecast'!$C$14*$A8</x:f>
        <x:v>9413.349487999985</x:v>
      </x:c>
    </x:row>
    <x:row r="9">
      <x:c r="A9" s="14" t="n">
        <x:v>-0.1</x:v>
      </x:c>
      <x:c r="B9" s="12" t="n">
        <x:f>'Operating Forecast'!$C$21+'Operating Forecast'!$C$7*B$7-'Operating Forecast'!$C$14*$A9</x:f>
        <x:v>4120.037656999985</x:v>
      </x:c>
      <x:c r="C9" s="12" t="n">
        <x:f>'Operating Forecast'!$C$21+'Operating Forecast'!$C$7*C$7-'Operating Forecast'!$C$14*$A9</x:f>
        <x:v>5191.790560999985</x:v>
      </x:c>
      <x:c r="D9" s="12" t="n">
        <x:f>'Operating Forecast'!$C$21+'Operating Forecast'!$C$7*D$7-'Operating Forecast'!$C$14*$A9</x:f>
        <x:v>6263.543464999985</x:v>
      </x:c>
      <x:c r="E9" s="12" t="n">
        <x:f>'Operating Forecast'!$C$21+'Operating Forecast'!$C$7*E$7-'Operating Forecast'!$C$14*$A9</x:f>
        <x:v>7335.296368999985</x:v>
      </x:c>
      <x:c r="F9" s="12" t="n">
        <x:f>'Operating Forecast'!$C$21+'Operating Forecast'!$C$7*F$7-'Operating Forecast'!$C$14*$A9</x:f>
        <x:v>8407.049272999984</x:v>
      </x:c>
    </x:row>
    <x:row r="10">
      <x:c r="A10" s="14" t="n">
        <x:v>0</x:v>
      </x:c>
      <x:c r="B10" s="12" t="n">
        <x:f>'Operating Forecast'!$C$21+'Operating Forecast'!$C$7*B$7-'Operating Forecast'!$C$14*$A10</x:f>
        <x:v>3113.737441999985</x:v>
      </x:c>
      <x:c r="C10" s="12" t="n">
        <x:f>'Operating Forecast'!$C$21+'Operating Forecast'!$C$7*C$7-'Operating Forecast'!$C$14*$A10</x:f>
        <x:v>4185.490345999985</x:v>
      </x:c>
      <x:c r="D10" s="27" t="n">
        <x:f>'Operating Forecast'!$C$21+'Operating Forecast'!$C$7*D$7-'Operating Forecast'!$C$14*$A10</x:f>
        <x:v>5257.243249999985</x:v>
      </x:c>
      <x:c r="E10" s="12" t="n">
        <x:f>'Operating Forecast'!$C$21+'Operating Forecast'!$C$7*E$7-'Operating Forecast'!$C$14*$A10</x:f>
        <x:v>6328.996153999985</x:v>
      </x:c>
      <x:c r="F10" s="12" t="n">
        <x:f>'Operating Forecast'!$C$21+'Operating Forecast'!$C$7*F$7-'Operating Forecast'!$C$14*$A10</x:f>
        <x:v>7400.749057999985</x:v>
      </x:c>
    </x:row>
    <x:row r="11">
      <x:c r="A11" s="14" t="n">
        <x:v>0.1</x:v>
      </x:c>
      <x:c r="B11" s="12" t="n">
        <x:f>'Operating Forecast'!$C$21+'Operating Forecast'!$C$7*B$7-'Operating Forecast'!$C$14*$A11</x:f>
        <x:v>2107.437226999985</x:v>
      </x:c>
      <x:c r="C11" s="12" t="n">
        <x:f>'Operating Forecast'!$C$21+'Operating Forecast'!$C$7*C$7-'Operating Forecast'!$C$14*$A11</x:f>
        <x:v>3179.190130999985</x:v>
      </x:c>
      <x:c r="D11" s="12" t="n">
        <x:f>'Operating Forecast'!$C$21+'Operating Forecast'!$C$7*D$7-'Operating Forecast'!$C$14*$A11</x:f>
        <x:v>4250.943034999985</x:v>
      </x:c>
      <x:c r="E11" s="12" t="n">
        <x:f>'Operating Forecast'!$C$21+'Operating Forecast'!$C$7*E$7-'Operating Forecast'!$C$14*$A11</x:f>
        <x:v>5322.695938999985</x:v>
      </x:c>
      <x:c r="F11" s="12" t="n">
        <x:f>'Operating Forecast'!$C$21+'Operating Forecast'!$C$7*F$7-'Operating Forecast'!$C$14*$A11</x:f>
        <x:v>6394.448842999985</x:v>
      </x:c>
    </x:row>
    <x:row r="12">
      <x:c r="A12" s="14" t="n">
        <x:v>0.2</x:v>
      </x:c>
      <x:c r="B12" s="12" t="n">
        <x:f>'Operating Forecast'!$C$21+'Operating Forecast'!$C$7*B$7-'Operating Forecast'!$C$14*$A12</x:f>
        <x:v>1101.137011999985</x:v>
      </x:c>
      <x:c r="C12" s="12" t="n">
        <x:f>'Operating Forecast'!$C$21+'Operating Forecast'!$C$7*C$7-'Operating Forecast'!$C$14*$A12</x:f>
        <x:v>2172.8899159999846</x:v>
      </x:c>
      <x:c r="D12" s="12" t="n">
        <x:f>'Operating Forecast'!$C$21+'Operating Forecast'!$C$7*D$7-'Operating Forecast'!$C$14*$A12</x:f>
        <x:v>3244.6428199999846</x:v>
      </x:c>
      <x:c r="E12" s="12" t="n">
        <x:f>'Operating Forecast'!$C$21+'Operating Forecast'!$C$7*E$7-'Operating Forecast'!$C$14*$A12</x:f>
        <x:v>4316.3957239999845</x:v>
      </x:c>
      <x:c r="F12" s="12" t="n">
        <x:f>'Operating Forecast'!$C$21+'Operating Forecast'!$C$7*F$7-'Operating Forecast'!$C$14*$A12</x:f>
        <x:v>5388.1486279999845</x:v>
      </x:c>
    </x:row>
    <x:row r="15">
      <x:c r="A15" t="str">
        <x:v>Sensitivity holds capacity, costs other than fuel, cargo and other revenue constant. It is a one-year EBIT scenario, not a probability forecast.</x:v>
      </x:c>
    </x:row>
  </x:sheetData>
  <x:mergeCells>
    <x:mergeCell ref="A1:F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46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</x:cols>
  <x:sheetData>
    <x:row r="1" ht="32" customHeight="1">
      <x:c r="A1" s="4" t="str">
        <x:v>GAAP SOURCE ARITHMETIC &amp; FORECAST INTEGRITY</x:v>
      </x:c>
    </x:row>
    <x:row r="3" ht="25" customHeight="1">
      <x:c r="A3" t="str">
        <x:v>Difference (target 0)</x:v>
      </x:c>
      <x:c r="B3" t="str">
        <x:v>FY2021</x:v>
      </x:c>
      <x:c r="C3" t="str">
        <x:v>FY2022</x:v>
      </x:c>
      <x:c r="D3" t="str">
        <x:v>FY2023</x:v>
      </x:c>
      <x:c r="E3" t="str">
        <x:v>FY2024</x:v>
      </x:c>
      <x:c r="F3" t="str">
        <x:v>FY2025</x:v>
      </x:c>
    </x:row>
    <x:row r="4" ht="24" customHeight="1">
      <x:c r="A4" s="9"/>
      <x:c r="B4" s="9"/>
      <x:c r="C4" s="9"/>
      <x:c r="D4" s="9"/>
      <x:c r="E4" s="9"/>
      <x:c r="F4" s="9"/>
    </x:row>
    <x:row r="5">
      <x:c r="A5" t="str">
        <x:v>Revenue components minus reported total</x:v>
      </x:c>
      <x:c r="B5" t="n">
        <x:f>SUM('Historical GAAP'!B5:B7)-'Historical GAAP'!B8</x:f>
        <x:v>0</x:v>
      </x:c>
      <x:c r="C5" t="n">
        <x:f>SUM('Historical GAAP'!C5:C7)-'Historical GAAP'!C8</x:f>
        <x:v>0</x:v>
      </x:c>
      <x:c r="D5" t="n">
        <x:f>SUM('Historical GAAP'!D5:D7)-'Historical GAAP'!D8</x:f>
        <x:v>0</x:v>
      </x:c>
      <x:c r="E5" t="n">
        <x:f>SUM('Historical GAAP'!E5:E7)-'Historical GAAP'!E8</x:f>
        <x:v>0</x:v>
      </x:c>
      <x:c r="F5" t="n">
        <x:f>SUM('Historical GAAP'!F5:F7)-'Historical GAAP'!F8</x:f>
        <x:v>0</x:v>
      </x:c>
    </x:row>
    <x:row r="6">
      <x:c r="A6" t="str">
        <x:v>Expense components minus reported total</x:v>
      </x:c>
      <x:c r="B6" t="n">
        <x:f>SUM('Historical GAAP'!B9:B23)-'Historical GAAP'!B24</x:f>
        <x:v>0</x:v>
      </x:c>
      <x:c r="C6" t="n">
        <x:f>SUM('Historical GAAP'!C9:C23)-'Historical GAAP'!C24</x:f>
        <x:v>0</x:v>
      </x:c>
      <x:c r="D6" t="n">
        <x:f>SUM('Historical GAAP'!D9:D23)-'Historical GAAP'!D24</x:f>
        <x:v>0</x:v>
      </x:c>
      <x:c r="E6" t="n">
        <x:f>SUM('Historical GAAP'!E9:E23)-'Historical GAAP'!E24</x:f>
        <x:v>0</x:v>
      </x:c>
      <x:c r="F6" t="n">
        <x:f>SUM('Historical GAAP'!F9:F23)-'Historical GAAP'!F24</x:f>
        <x:v>0</x:v>
      </x:c>
    </x:row>
    <x:row r="7">
      <x:c r="A7" s="34" t="str">
        <x:v>Revenue - expenses - operating income</x:v>
      </x:c>
      <x:c r="B7" s="34" t="n">
        <x:f>'Historical GAAP'!B8-'Historical GAAP'!B24-'Historical GAAP'!B25</x:f>
        <x:v>0</x:v>
      </x:c>
      <x:c r="C7" s="34" t="n">
        <x:f>'Historical GAAP'!C8-'Historical GAAP'!C24-'Historical GAAP'!C25</x:f>
        <x:v>0</x:v>
      </x:c>
      <x:c r="D7" s="34" t="n">
        <x:f>'Historical GAAP'!D8-'Historical GAAP'!D24-'Historical GAAP'!D25</x:f>
        <x:v>0</x:v>
      </x:c>
      <x:c r="E7" s="34" t="n">
        <x:f>'Historical GAAP'!E8-'Historical GAAP'!E24-'Historical GAAP'!E25</x:f>
        <x:v>0</x:v>
      </x:c>
      <x:c r="F7" s="34" t="n">
        <x:f>'Historical GAAP'!F8-'Historical GAAP'!F24-'Historical GAAP'!F25</x:f>
        <x:v>0</x:v>
      </x:c>
    </x:row>
    <x:row r="8">
      <x:c r="A8" t="str">
        <x:v>Reported vs operating model revenue, FY2025</x:v>
      </x:c>
      <x:c r="B8" t="n">
        <x:f>0</x:f>
        <x:v>0</x:v>
      </x:c>
      <x:c r="C8" t="n">
        <x:f>0</x:f>
        <x:v>0</x:v>
      </x:c>
      <x:c r="D8" t="n">
        <x:f>0</x:f>
        <x:v>0</x:v>
      </x:c>
      <x:c r="E8" t="n">
        <x:f>0</x:f>
        <x:v>0</x:v>
      </x:c>
      <x:c r="F8" t="n">
        <x:f>'Operating Forecast'!B10-'Historical GAAP'!F8</x:f>
        <x:v>0</x:v>
      </x:c>
    </x:row>
    <x:row r="9">
      <x:c r="A9" t="str">
        <x:v>Reported vs operating model expense, FY2025</x:v>
      </x:c>
      <x:c r="B9" t="n">
        <x:f>0</x:f>
        <x:v>0</x:v>
      </x:c>
      <x:c r="C9" t="n">
        <x:f>0</x:f>
        <x:v>0</x:v>
      </x:c>
      <x:c r="D9" t="n">
        <x:f>0</x:f>
        <x:v>0</x:v>
      </x:c>
      <x:c r="E9" t="n">
        <x:f>0</x:f>
        <x:v>0</x:v>
      </x:c>
      <x:c r="F9" t="n">
        <x:f>'Operating Forecast'!B19-'Historical GAAP'!F24</x:f>
        <x:v>0</x:v>
      </x:c>
    </x:row>
    <x:row r="10">
      <x:c r="A10" s="34" t="str">
        <x:v>Reported vs operating model EBIT, FY2025</x:v>
      </x:c>
      <x:c r="B10" s="34" t="n">
        <x:f>0</x:f>
        <x:v>0</x:v>
      </x:c>
      <x:c r="C10" s="34" t="n">
        <x:f>0</x:f>
        <x:v>0</x:v>
      </x:c>
      <x:c r="D10" s="34" t="n">
        <x:f>0</x:f>
        <x:v>0</x:v>
      </x:c>
      <x:c r="E10" s="34" t="n">
        <x:f>0</x:f>
        <x:v>0</x:v>
      </x:c>
      <x:c r="F10" s="34" t="n">
        <x:f>'Operating Forecast'!B21-'Historical GAAP'!F25</x:f>
        <x:v>0</x:v>
      </x:c>
    </x:row>
    <x:row r="13">
      <x:c r="A13" t="str">
        <x:v>FY2024 to FY2025 operating profit bridge difference</x:v>
      </x:c>
      <x:c r="B13" t="n">
        <x:f>'Expense Bridge'!B14</x:f>
        <x:v>0</x:v>
      </x:c>
    </x:row>
    <x:row r="14">
      <x:c r="A14" t="str">
        <x:v>Fuel price-volume analysis reconciliation difference</x:v>
      </x:c>
      <x:c r="B14" t="n">
        <x:f>'Expense Bridge'!B26</x:f>
        <x:v>3.410605131648481e-13</x:v>
      </x:c>
    </x:row>
    <x:row r="15">
      <x:c r="A15" t="str">
        <x:v>FY2026 sensitivity middle cell minus base forecast</x:v>
      </x:c>
      <x:c r="B15" t="n">
        <x:f>Sensitivity!D10-'Operating Forecast'!C21</x:f>
        <x:v>0</x:v>
      </x:c>
    </x:row>
  </x:sheetData>
  <x:mergeCells>
    <x:mergeCell ref="A1:F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39" hidden="0" customWidth="1"/>
    <x:col min="2" max="2" width="15" hidden="0" customWidth="1"/>
    <x:col min="3" max="3" width="62" hidden="0" customWidth="1"/>
    <x:col min="4" max="4" width="52" hidden="0" customWidth="1"/>
    <x:col min="5" max="5" width="15" hidden="0" customWidth="1"/>
    <x:col min="6" max="6" width="15" hidden="0" customWidth="1"/>
  </x:cols>
  <x:sheetData>
    <x:row r="1" ht="32" customHeight="1">
      <x:c r="A1" s="4" t="str">
        <x:v>SOURCES | EXACT REPORT LINKS AND ACCOUNTING BASIS</x:v>
      </x:c>
    </x:row>
    <x:row r="3" ht="25" customHeight="1">
      <x:c r="A3" t="str">
        <x:v>Source type</x:v>
      </x:c>
      <x:c r="B3" t="str">
        <x:v>Years covered</x:v>
      </x:c>
      <x:c r="C3" t="str">
        <x:v>URL</x:v>
      </x:c>
      <x:c r="D3" t="str">
        <x:v>Filing/table</x:v>
      </x:c>
    </x:row>
    <x:row r="4" ht="24" customHeight="1">
      <x:c r="A4" s="9" t="str">
        <x:v>SEC Form 10-K</x:v>
      </x:c>
      <x:c r="B4" s="9" t="str">
        <x:v>2025 / 2024 / 2023</x:v>
      </x:c>
      <x:c r="C4" s="9" t="str">
        <x:v>https://www.sec.gov/Archives/edgar/data/27904/000002790426000013/dal-20251231.htm</x:v>
      </x:c>
      <x:c r="D4" s="9" t="str">
        <x:v>Statements of Operations p.56, KPIs p.39</x:v>
      </x:c>
      <x:c r="E4" s="9"/>
      <x:c r="F4" s="9"/>
    </x:row>
    <x:row r="5">
      <x:c r="A5" t="str">
        <x:v>SEC Form 10-K</x:v>
      </x:c>
      <x:c r="B5" t="str">
        <x:v>2023 / 2022 / 2021</x:v>
      </x:c>
      <x:c r="C5" t="str">
        <x:v>https://www.sec.gov/Archives/edgar/data/27904/000002790424000003/dal-20231231.htm</x:v>
      </x:c>
      <x:c r="D5" t="str">
        <x:v>Statements of Operations p.59, KPIs p.40</x:v>
      </x:c>
    </x:row>
    <x:row r="6">
      <x:c r="A6" t="str">
        <x:v>SEC Form 10-K</x:v>
      </x:c>
      <x:c r="B6" t="str">
        <x:v>2022 / 2021</x:v>
      </x:c>
      <x:c r="C6" t="str">
        <x:v>https://www.sec.gov/Archives/edgar/data/27904/000002790423000003/dal-20221231.htm</x:v>
      </x:c>
      <x:c r="D6" t="str">
        <x:v>Operating KPIs p.42, fuel disclosures</x:v>
      </x:c>
    </x:row>
    <x:row r="9">
      <x:c r="A9" t="str">
        <x:v>IMPORTANT: CASM-Ex and some operating KPIs are issuer-disclosed non-GAAP / operational statistics.</x:v>
      </x:c>
    </x:row>
    <x:row r="10">
      <x:c r="A10" t="str">
        <x:v>FORECAST INPUTS are independent assumptions, not official Delta budgets or guidance.</x:v>
      </x:c>
    </x:row>
  </x:sheetData>
  <x:mergeCells>
    <x:mergeCell ref="A1:D1"/>
  </x:mergeCells>
  <x:pageMargins left="0.7" right="0.7" top="0.75" bottom="0.75" header="0.3" footer="0.3"/>
</x:worksheet>
</file>